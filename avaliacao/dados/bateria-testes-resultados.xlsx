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guntas" sheetId="1" r:id="rId5"/>
    <sheet state="visible" name="Resultados" sheetId="2" r:id="rId6"/>
    <sheet state="visible" name="Resumo" sheetId="3" r:id="rId7"/>
  </sheets>
  <definedNames/>
  <calcPr/>
</workbook>
</file>

<file path=xl/sharedStrings.xml><?xml version="1.0" encoding="utf-8"?>
<sst xmlns="http://schemas.openxmlformats.org/spreadsheetml/2006/main" count="1632" uniqueCount="634">
  <si>
    <t>ordem</t>
  </si>
  <si>
    <t>execucao_id</t>
  </si>
  <si>
    <t>codigo</t>
  </si>
  <si>
    <t>grupo</t>
  </si>
  <si>
    <t>pergunta</t>
  </si>
  <si>
    <t>referencia_esperada</t>
  </si>
  <si>
    <t>executar</t>
  </si>
  <si>
    <t>resposta</t>
  </si>
  <si>
    <t>P001</t>
  </si>
  <si>
    <t>response_id</t>
  </si>
  <si>
    <t>PRESENTE</t>
  </si>
  <si>
    <t>status</t>
  </si>
  <si>
    <t>O que é a ferramenta Meu Imóvel Rural e como ela amplia a autonomia dos agricultores?</t>
  </si>
  <si>
    <t>erro</t>
  </si>
  <si>
    <t>Meu Imóvel Rural ferramenta para autonomia</t>
  </si>
  <si>
    <t>duracao_ms</t>
  </si>
  <si>
    <t>timestamp</t>
  </si>
  <si>
    <t>rag_consultado</t>
  </si>
  <si>
    <t>rag_encontrou_resultados</t>
  </si>
  <si>
    <t>SIM</t>
  </si>
  <si>
    <t>quantidade_resultados_rag</t>
  </si>
  <si>
    <t>melhor_score_rag</t>
  </si>
  <si>
    <t>P002</t>
  </si>
  <si>
    <t>arquivos_rag</t>
  </si>
  <si>
    <t>avaliacao_manual</t>
  </si>
  <si>
    <t>observacoes</t>
  </si>
  <si>
    <t>Como a extensão universitária pode contribuir para o desenvolvimento de um destino de cicloturismo?</t>
  </si>
  <si>
    <t>Extensão universitária para o desenvolvimento de destino de cicloturismo</t>
  </si>
  <si>
    <t>2026-08-07T03:44:40.901Z</t>
  </si>
  <si>
    <t>P003</t>
  </si>
  <si>
    <t>Como as redes sociais podem ser usadas como ferramenta de aprendizagem junto aos agricultores familiares?</t>
  </si>
  <si>
    <t>O uso das redes sociais como ferramenta de aprendizagem junto aos agricultores familiares</t>
  </si>
  <si>
    <t>Encontrei essa resposta nas transcrições da Rede Aurora.
A ferramenta "Meu Imóvel Rural" foi desenvolvida para enfrentar a dificuldade que os agricultores enfrentam na obtenção de informações sobre seus imóveis rurais. Essa ferramenta permite uma visualização eficiente dos dados dos agricultores a partir da plataforma do INCRA e oferece aos agricultores a capacidade de ter informações atualizadas sobre suas propriedades. Isso é feito através da integração com o sistema do Golfbr, onde os agricultores conseguem fazer login e acessar várias abas para buscar suas informações. Essa atualização frequente dos dados auxilia na gestão territorial, fundiária e ambiental, ampliando assim a autonomia dos agricultores em suas atividades.
https://youtu.be/XWWEGyi2lwM?t=874</t>
  </si>
  <si>
    <t>resp_0301f5bcd0772678006a7554b6372481a1bb863caa991a8a5a</t>
  </si>
  <si>
    <t>OK</t>
  </si>
  <si>
    <t>P004</t>
  </si>
  <si>
    <t>001_Meu Imóvel Rural ferramenta para autonomia.json</t>
  </si>
  <si>
    <t>RAG confirmado</t>
  </si>
  <si>
    <t>Como foi desenvolvida a experiência de formação em Extensão Rural e Agroecologia?</t>
  </si>
  <si>
    <t>Fonte esperada recuperada; resposta coerente com a pergunta e ancorada na transcrição. Melhor score RAG de 0,5408, acima do limiar de 0,30; acompanhar a estabilidade nas repetições.</t>
  </si>
  <si>
    <t>A experiência de formação em Extensão Rural e Agroecologia</t>
  </si>
  <si>
    <t>P005</t>
  </si>
  <si>
    <t>Quais estratégias podem promover uma digitalização inclusiva na Amazônia Paraense?</t>
  </si>
  <si>
    <t>Encontrei essa resposta nas transcrições da Rede Aurora.
A extensão universitária pode contribuir significativamente para o desenvolvimento de um destino de cicloturismo ao promover a organização de grupos, roteiros e passeios com a participação de ciclocondutores e futuramente agências locais. Isso envolve a criação de produtos turísticos únicos baseados em patrimônios naturais, que podem atrair atenção internacional. Além disso, as universidades desempenham um papel essencial na formação profissional e na "turistificação" da experiência científica sem perder seu rigor.
Assista ao vídeo completo aqui: https://youtu.be/WLsLdgfN5JM?t=4591</t>
  </si>
  <si>
    <t>Promovendo a digitalização inclusiva na Amazônia Paraense</t>
  </si>
  <si>
    <t>resp_0a1fca2268619071006a7554cb531c819c8462c797183f7b2b</t>
  </si>
  <si>
    <t>P006</t>
  </si>
  <si>
    <t>002_Extensão universitária para o desenvolvimento de destino de cicloturismo.json</t>
  </si>
  <si>
    <t>Como a ATER pública se posiciona diante da digitalização da agricultura?</t>
  </si>
  <si>
    <t>Fonte esperada recuperada pelo File Search; resposta coerente com a pergunta, ancorada na transcrição e acompanhada de vídeo/timestamp.</t>
  </si>
  <si>
    <t>Ater pública frente à digitalização na agricultura- construção e perspectivas</t>
  </si>
  <si>
    <t>P007</t>
  </si>
  <si>
    <t>Encontrei essa resposta nas transcrições da Rede Aurora.
As redes sociais podem ser utilizadas como ferramenta de aprendizagem junto aos agricultores familiares ao permitir a troca de informações e experiências sobre práticas agrícolas e estratégias de convivência com o meio ambiente. Além disso, eles mencionam a importância de criar espaços virtuais onde os agricultores possam valorizar suas raízes e aprender sobre tecnologias que melhorem sua vida no campo.
Veja mais detalhes no vídeo: https://youtu.be/767OxutU0I4?t=412</t>
  </si>
  <si>
    <t>Como as redes sociais podem ampliar a comercialização da agricultura familiar?</t>
  </si>
  <si>
    <t>resp_0b1a3138dcfc9b6a006a7554e0ad3081a3b07586d65af4bbdd</t>
  </si>
  <si>
    <t>O uso de redes sociais pela agricultura familiar para ampliar a comercialização</t>
  </si>
  <si>
    <t>003_O uso das redes sociais como ferramenta de aprendizagem junto aos agricultores familiares.json</t>
  </si>
  <si>
    <t>P008</t>
  </si>
  <si>
    <t>Quais são os efeitos da Extensão Rural sobre a produtividade em um sistema pluralista?</t>
  </si>
  <si>
    <t>Avaliando os efeitos da Extensão Rural na produtividade em um sistema pluralista</t>
  </si>
  <si>
    <t>P009</t>
  </si>
  <si>
    <t>Encontrei essa resposta nas transcrições da Rede Aurora.
A experiência de formação em Extensão Rural e Agroecologia foi desenvolvida através de um ciclo de formação do extensionista rural, começando com a ideia de integrar ensino, pesquisa e extensão. Houve uma forte demanda por formação, o que levou à oferta de dois cursos virtuais de agroecologia. O primeiro curso teve 500 inscritos e 200 conclusões. A formação visa discutir não só a produção, mas também modos de vida e práticas cotidianas, abordando temas como agroecologia política, transição agroecológica e sementes criolas.
Você pode assistir ao vídeo completo aqui: [https://youtu.be/V2vmGx1j6Ck?t=61](https://youtu.be/V2vmGx1j6Ck?t=61)</t>
  </si>
  <si>
    <t>Como a inteligência artificial fortalece a colaboração entre o campo e o laboratório na agricultura?</t>
  </si>
  <si>
    <t>resp_05432bc1693c19b4006a7554f49558819e87d617951a25045d</t>
  </si>
  <si>
    <t>Inteligência coletiva na Agricultura- como a IA fortalece a colaboração entre campo e laboratório</t>
  </si>
  <si>
    <t>004_A experiência de formação em Extensão Rural e Agroecologia.json</t>
  </si>
  <si>
    <t>P010</t>
  </si>
  <si>
    <t>Fonte esperada recuperada; resposta coerente e com timestamp. Ressalva de apresentação: o link foi devolvido em Markdown, diferente do padrão de URL simples definido para o bot.</t>
  </si>
  <si>
    <t>Como a linguagem clara pode ser usada como estratégia de extensão rural em Portugal?</t>
  </si>
  <si>
    <t>A linguagem clara como estratégia de extensão rural, em Portugal</t>
  </si>
  <si>
    <t>P011</t>
  </si>
  <si>
    <t>Encontrei essa resposta nas transcrições da Rede Aurora.
Para promover uma digitalização inclusiva na Amazônia Paraense, uma das estratégias mencionadas é o desenvolvimento e adoção de ferramentas digitais inclusivas. O projeto buscou auxiliar a transição para sistemas de produção mais sustentáveis e promover a inclusão social e econômica por meio da tecnologia.
Vídeo relacionado:
https://youtu.be/buowq0S7-xE?t=1893</t>
  </si>
  <si>
    <t>Quais são os principais desafios da Extensão Rural contemporânea?</t>
  </si>
  <si>
    <t>resp_0773b79ce2c17dc2006a75550a272481a1998b4415ea50225c</t>
  </si>
  <si>
    <t>Desafios da Extensão Rural Contemporânea</t>
  </si>
  <si>
    <t>P012</t>
  </si>
  <si>
    <t>005_Promovendo a digitalização inclusiva na Amazônia Paraense.json</t>
  </si>
  <si>
    <t>Por que o caso de agricultura urbana de Maringá é considerado exitoso?</t>
  </si>
  <si>
    <t>Agricultura urbana- o caso exitoso de Maringá</t>
  </si>
  <si>
    <t>P013</t>
  </si>
  <si>
    <t>Encontrei essa resposta nas transcrições da Rede Aurora.
A ATER pública enfrenta o desafio da digitalização da agricultura ao tentar modernizar suas estruturas e ampliar o uso de tecnologias para alcançar mais produtores. A utilização dessas ferramentas é vista como um caminho para superar os gargalos existentes na assistência técnica pública, promovendo inclusão digital e melhor conectividade.
Vídeo correspondente: https://youtu.be/p8WNd6rhxno?t=1032</t>
  </si>
  <si>
    <t>Como o projeto-piloto da Epagri e a ATER+ Digital estão transformando a Extensão Rural?</t>
  </si>
  <si>
    <t>resp_0301c0a02009f2d4006a75551f8af881a28115038942018ff9</t>
  </si>
  <si>
    <t>Transformando a Extensão Rural- Projeto Piloto Epagri e ATER+ Digital</t>
  </si>
  <si>
    <t>P014</t>
  </si>
  <si>
    <t>006_Ater pública frente à digitalização na agricultura- construção e perspectivas.json</t>
  </si>
  <si>
    <t>Como a extensão universitária e a sustentabilidade em rede se articulam no assentamento rural Itamarati?</t>
  </si>
  <si>
    <t>Extensão universitária e sustentabilidade em rede- a experiência do assentamento rural Itamarati</t>
  </si>
  <si>
    <t>P015</t>
  </si>
  <si>
    <t>Encontrei essa resposta nas transcrições da Rede Aurora.
As redes sociais podem amplificar a comercialização da agricultura familiar ao abrir novas possibilidades de visibilidade para os produtos e produtores, embora também possam apresentar desafios e campos de enfrentamento. Há uma atenção especial à gestão das redes sociais, uma vez que a visibilidade pode ser tanto uma oportunidade quanto um risco.
Veja mais neste vídeo: [https://youtu.be/Jz8QTrKGMMI?t=2970](https://youtu.be/Jz8QTrKGMMI?t=2970)</t>
  </si>
  <si>
    <t>resp_078074149ef1d27f006a755531ff08819cb57ae70afc3ca1e4</t>
  </si>
  <si>
    <t>Quais caminhos são apresentados para a criação agroecológica de animais?</t>
  </si>
  <si>
    <t>Construindo caminhos para a criação agroecológica de animais</t>
  </si>
  <si>
    <t>007_O uso de redes sociais pela agricultura familiar para ampliar a comercialização.json | 008_O uso de redes sociais pela agricultura familiar para ampliar a comercialização.json</t>
  </si>
  <si>
    <t>P016</t>
  </si>
  <si>
    <t>O que são os hubs da Plataforma ATER+ Digital desenvolvidos pela Embrapa Meio Ambiente?</t>
  </si>
  <si>
    <t>Plataforma Ater+ Digital- Hubs desenvolvidos pela Embrapa Meio Ambiente</t>
  </si>
  <si>
    <t>P017</t>
  </si>
  <si>
    <t>Encontrei essa resposta nas transcrições da Rede Aurora.
A Extensão Rural em um sistema pluralista tem efeitos positivos sobre a produtividade. Ela auxilia no incremento da produtividade através do aumento em dólares por acre, o que foi observado em diferentes contextos, demonstrando a dimensão econômica positiva do impacto do uso da terra.
Além disso, para comunidades isoladas, é importante educar e implementar projetos de extensão eficientes, utilizando tecnologias de comunicação. Esse tipo de sistema ATER (Assistência Técnica e Extensão Rural) é crucial na melhoria do uso da terra e na implementação de práticas inovadoras.
Você pode assistir ao vídeo completo neste link:
[https://youtu.be/Ooht7sdX5Ts?t=3242](https://youtu.be/Ooht7sdX5Ts?t=3242)</t>
  </si>
  <si>
    <t>Como as mídias digitais são utilizadas na ATER?</t>
  </si>
  <si>
    <t>resp_02d7a45ae9c16960006a75554bbe30819f8588113bd9766355</t>
  </si>
  <si>
    <t>Uso das mídias digitais na ATER</t>
  </si>
  <si>
    <t>P018</t>
  </si>
  <si>
    <t>008_Avaliando os efeitos da Extensão Rural na produtividade em um sistema pluralista.json | 009_Avaliando os efeitos da Extensão Rural na produtividade em um sistema pluralista.json</t>
  </si>
  <si>
    <t>Quais são os desafios e as possibilidades do desenvolvimento rural em tempos de transformação?</t>
  </si>
  <si>
    <t>Desenvolvimento rural em tempos de transformação- desafios e possibilidades</t>
  </si>
  <si>
    <t>P019</t>
  </si>
  <si>
    <t>Encontrei essa resposta nas transcrições da Rede Aurora.
A inteligência artificial fortalece a colaboração entre campo e laboratório na agricultura ao integrar tecnologias como deep learning e redes neurais. Isso permite uma interação mais eficaz entre os agricultores e as diferentes partes interessadas, potencializando o uso de IA não só do ponto de vista técnico, mas também humano e social. Esses sistemas ajudam na investigação e aplicação prática, diminuindo erros e promovendo soluções eficazes no controle e manejo agrícola.
Link do vídeo: https://youtu.be/ilfn593UOlw?t=643</t>
  </si>
  <si>
    <t>resp_0a48252683fa6e82006a75556017f8819d9c5eab00cdb01bf9</t>
  </si>
  <si>
    <t>O que é o PAS Nordeste e como funcionam as Redes Territoriais de ATER?</t>
  </si>
  <si>
    <t>PAS Nordeste e as Redes Territoriais de ATER</t>
  </si>
  <si>
    <t>010_Inteligência coletiva na Agricultura- como a IA fortalece a colaboração entre campo e laboratório.json | 009_Inteligência coletiva na Agricultura- como a IA fortalece a colaboração entre campo e laboratório.json</t>
  </si>
  <si>
    <t>P020</t>
  </si>
  <si>
    <t>Quais são as perspectivas digitais para a ATER envolvendo digitalização, letramento digital, autodeclaração e políticas públicas?</t>
  </si>
  <si>
    <t>Perspectivas digitais para a ATER- digitalização, letramento digital, autodeclaração e p. públicas</t>
  </si>
  <si>
    <t>Encontrei essa resposta nas transcrições da Rede Aurora.
O uso da linguagem clara como estratégia de extensão rural em Portugal destaca a importância de comunicar de forma direta e sem ambiguidade com os agricultores. Cristina Nobre Soares explica que a linguagem clara, além de evitar palavras ambíguas, deve chamar as coisas pelos nomes, facilitando a compreensão e a aplicação prática do conhecimento pelos agricultores. Ela aponta que a linguagem clara não só melhora a comunicação, como também tem um papel fundamental em adaptar as informações para que sejam mais acessíveis e úteis para o público alvo.
Você pode assistir mais sobre isso no vídeo: https://youtu.be/avCGvUHjBpc?t=1826.</t>
  </si>
  <si>
    <t>resp_00ece035541ce668006a75557378dc81a09bcc1f749a846c43</t>
  </si>
  <si>
    <t>P021</t>
  </si>
  <si>
    <t>Como o WhatsApp é utilizado na comunicação rural para promover diálogos?</t>
  </si>
  <si>
    <t>Semeando mensagens, colhendo diálogos- a comunicação rural e o uso do WhatsApp</t>
  </si>
  <si>
    <t>011_A linguagem clara como estratégia de extensão rural, em Portugal.json | 010_A linguagem clara como estratégia de extensão rural, em Portugal.json</t>
  </si>
  <si>
    <t>P022</t>
  </si>
  <si>
    <t>Quais são as contribuições do Pila Verde e do Pila Azul para a segurança alimentar e a qualidade de vida?</t>
  </si>
  <si>
    <t>Segurança Alimentar e Qualidade de Vida contribuições do Pila Verde e Pila Azul</t>
  </si>
  <si>
    <t>Encontrei essa resposta nas transcrições da Rede Aurora.
Os principais desafios da Extensão Rural contemporânea incluem identificar e propor caminhos metodológicos para os elementos e condicionantes que determinam os processos de transferência e compartilhamento de novas tecnologias nos territórios rurais da América. Além disso, foram mencionados desafios antigos que continuam presentes, juntamente com novos desafios que surgem ao longo do tempo.
Para mais detalhes, você pode assistir ao vídeo completo aqui: [Desafios da Extensão Rural Contemporânea](https://youtu.be/EaI5702vijc?t=44).</t>
  </si>
  <si>
    <t>resp_06d5410f2b2a2e2e006a7555897140819fa310cbc351be3e40</t>
  </si>
  <si>
    <t>P023</t>
  </si>
  <si>
    <t>Como a Extensão Rural atua como protagonista nas Caminhadas Internacionais na Natureza e no turismo?</t>
  </si>
  <si>
    <t>Caminhadas Internacional na Natureza Extensão Rural como protagonista do turismo</t>
  </si>
  <si>
    <t>012_Desafios da Extensão Rural Contemporânea.json | 008_Avaliando os efeitos da Extensão Rural na produtividade em um sistema pluralista.json | 009_Avaliando os efeitos da Extensão Rural na produtividade em um sistema pluralista.json | 066_Velhos e novos desafios para a Extensão Rural do futuro.json | 011_Desafios da Extensão Rural Contemporânea.json | 013_Transformando a Extensão Rural- Projeto Piloto Epagri e ATER+ Digital.json</t>
  </si>
  <si>
    <t>Fonte esperada recuperada entre vários resultados do File Search; a resposta final permaneceu coerente com a referência. O link foi formatado em Markdown, fora do padrão de URL simples definido para o bot.</t>
  </si>
  <si>
    <t>P024</t>
  </si>
  <si>
    <t>Como a Extensão Rural atuou diante dos impactos das chuvas, cheias e estiagem no Rio Grande do Sul?</t>
  </si>
  <si>
    <t>Ações da Extensão Rural impactos das chuvas, cheias e estiagem no Rio Grande do Sul</t>
  </si>
  <si>
    <t>Encontrei essa resposta nas transcrições da Rede Aurora.
O caso de agricultura urbana em Maringá é considerado exitoso porque envolve uma significativa inclusão de famílias nas hortas comunitárias. Atualmente, existem aproximadamente 1.253 agricultoras envolvidas em 42 hortas comunitárias na cidade. Esse projeto tem mais de 30 anos de experiência em produção em larga escala, incluindo até a criação de tanques de peixes. Esse sucesso é suportado por legislações e adequações promovidas pelas autoridades locais.
https://youtu.be/KT7qnCzvdnc?t=1565</t>
  </si>
  <si>
    <t>resp_07ff01c79126cc7f006a75559d897c819cb8fd91b124ddb2f0</t>
  </si>
  <si>
    <t>P025</t>
  </si>
  <si>
    <t>O que é cidadania alimentar e como ela pode contribuir para a transformação dos sistemas alimentares?</t>
  </si>
  <si>
    <t>A cidadania alimentar para a transformação dos sistemas alimentares</t>
  </si>
  <si>
    <t>012_Agricultura urbana- o caso exitoso de Maringá.json | 014_Agricultura urbana- o caso exitoso de Maringá.json</t>
  </si>
  <si>
    <t>P026</t>
  </si>
  <si>
    <t>Como a educação em saúde contribui para a prevenção da Cria Pútrida Americana?</t>
  </si>
  <si>
    <t>A educação em saúde na prevenção da Cria Pútrida Americana</t>
  </si>
  <si>
    <t>Encontrei essa resposta nas transcrições da Rede Aurora.
O projeto-piloto da Epagri e ATER+ Digital está transformando a Extensão Rural ao aumentar o acesso dos produtores às informações. Isso foi possível através da criação de hubs específicos, como o da apicultura e o da batata-doce, que são relevantes para Santa Catarina. O objetivo é tornar o atendimento mais frequente e eficiente para um maior número de produtores.
Veja mais no vídeo a partir de 1284 segundos:
https://www.youtube.com/watch?v=SXdCNI8zBQc?t=1284</t>
  </si>
  <si>
    <t>P027</t>
  </si>
  <si>
    <t>resp_059e48a5c091ab70006a7555b1b28881a2a6acfcbe7e0b1191</t>
  </si>
  <si>
    <t>Qual foi o balanço da PNATER em 2023 e 2024 apresentado pelo DATER e pelo MDA?</t>
  </si>
  <si>
    <t>Avaliação do Balanço da PNATER 2023 2024 DATER MDA</t>
  </si>
  <si>
    <t>013_Transformando a Extensão Rural- Projeto Piloto Epagri e ATER+ Digital.json | 015_Transformando a Extensão Rural- Projeto Piloto Epagri e ATER+ Digital.json</t>
  </si>
  <si>
    <t>P028</t>
  </si>
  <si>
    <t>Fonte esperada recuperada e conteúdo coerente. Ressalva técnica: a URL foi montada no formato 'watch?v=...?...', diferente do padrão solicitado; deve ser normalizada antes do uso no Telegram.</t>
  </si>
  <si>
    <t>Quais ações com pessoas com deficiência são realizadas na Extensão Social?</t>
  </si>
  <si>
    <t>Ações com PCDs na Extensão Social</t>
  </si>
  <si>
    <t>P029</t>
  </si>
  <si>
    <t>Como o Sistema Asbraer apoia a formação de extensionistas e o uso de tecnologia no campo?</t>
  </si>
  <si>
    <t>Sistema Asbraer para formação de extensionistas e uso de tecnologia no campo</t>
  </si>
  <si>
    <t>Encontrei essa resposta nas transcrições da Rede Aurora.
A extensão universitária e a sustentabilidade em rede no assentamento rural Itamarati são articuladas através de projetos que focam em inovação como base para conduta e programação, destacando a sustentabilidade como um enfoque central. Por exemplo, um projeto piloto chamado "Piccultura Familiar Sustentável" foi implementado em parceria com o MPA, com o objetivo de realizar um codesenho e planejar estrategicamente a implantação de iniciativas sustentáveis no assentamento. 
Link para o vídeo: https://youtu.be/uv9GJrGyjrs?t=2616</t>
  </si>
  <si>
    <t>resp_003fcc28d9ddf2db006a7555c6f83481a2b6127efbbe48531e</t>
  </si>
  <si>
    <t>P030</t>
  </si>
  <si>
    <t>Como a ATER trabalha com povos tradicionais quilombolas do Rio Grande do Sul?</t>
  </si>
  <si>
    <t>ATERS com povos tradicionais quilombolas do RS</t>
  </si>
  <si>
    <t>014_Extensão universitária e sustentabilidade em rede- a experiência do assentamento rural Itamarati.json | 016_Extensão universitária e sustentabilidade em rede- a experiência do assentamento rural Itamarati.json</t>
  </si>
  <si>
    <t>P031</t>
  </si>
  <si>
    <t>Quais são os desafios e as oportunidades da produção orgânica na agricultura familiar?</t>
  </si>
  <si>
    <t>Desafios e oportunidades da produção orgânica na agricultura familiar</t>
  </si>
  <si>
    <t>P032</t>
  </si>
  <si>
    <t>Encontrei essa resposta nas transcrições da Rede Aurora.
A agroecologia para a criação de animais busca a integração entre vegetais e animais, ressaltando a importância dessa relação para produtividade e ciclagem dentro do sistema agroecológico. A palestra menciona que mesmo atividades com animais domesticados, como a criação de bezerros, precisam ser feitas em contato conjunto com a mãe, visando a saúde e desenvolvimento dos animais de forma integrada ao sistema ecológico.
Para mais detalhes, você pode assistir ao vídeo completo: https://youtu.be/gvXA0MC-Oyc?t=1333</t>
  </si>
  <si>
    <t>Como a homeopatia é apresentada como ferramenta de saúde e qualidade de vida no campo?</t>
  </si>
  <si>
    <t>resp_06d58c4aeafeb482006a7555e02c0081a197842be7952ba16a</t>
  </si>
  <si>
    <t>Homeopatia como ferramenta de saúde e qualidade de vida no campo</t>
  </si>
  <si>
    <t>P033</t>
  </si>
  <si>
    <t>017_Construindo caminhos para a criação agroecológica de animais.json | 015_Construindo caminhos para a criação agroecológica de animais.json</t>
  </si>
  <si>
    <t>Quais são as potencialidades e os desafios da Tecnologia da Informação na agricultura familiar?</t>
  </si>
  <si>
    <t>Tecnologia da Informação e Agricultura Familiar potências e desafios</t>
  </si>
  <si>
    <t>P034</t>
  </si>
  <si>
    <t>Como as metodologias participativas são aplicadas à Extensão Rural no Semiárido brasileiro?</t>
  </si>
  <si>
    <t>Metodologias participativas na Extensão Rural no contexto do Semiárido Brasileiro</t>
  </si>
  <si>
    <t>Encontrei essa resposta nas transcrições da Rede Aurora.
Os hubs da Plataforma ATER+ Digital desenvolvidos pela Embrapa Meio Ambiente estão divididos em cadeias produtivas e hubs temáticos voltados para a agricultura familiar. Hubs assinalados em verde são aqueles já disponíveis na plataforma, enquanto os em laranja estão em desenvolvimento e ainda não estão disponíveis para o público.
Veja mais detalhes no vídeo: https://youtu.be/bhRDIRkoLwE?t=605</t>
  </si>
  <si>
    <t>resp_079a63da972bf6f8006a7555f355a881a2b862d98234e0972c</t>
  </si>
  <si>
    <t>P035</t>
  </si>
  <si>
    <t>Como ocorre a construção do conhecimento em uma ATER feminista e agroecológica no Nordeste do Brasil?</t>
  </si>
  <si>
    <t>A construção do conhecimento em ATER feminista e agroecológica no Nordeste do Brasil</t>
  </si>
  <si>
    <t>016_Plataforma Ater+ Digital- Hubs desenvolvidos pela Embrapa Meio Ambiente.json | 018_Plataforma Ater+ Digital- Hubs desenvolvidos pela Embrapa Meio Ambiente.json</t>
  </si>
  <si>
    <t>P036</t>
  </si>
  <si>
    <t>Como o plano de vida rural, a ATER Digital e os negócios de impacto socioambiental se relacionam?</t>
  </si>
  <si>
    <t>Plano de vida rural ATER digital e inovações em negócios de impacto socioambiental</t>
  </si>
  <si>
    <t>Encontrei essa resposta nas transcrições da Rede Aurora.
As mídias digitais são utilizadas na ATER (Assistência Técnica e Extensão Rural) para diversos fins. Por exemplo, foi mencionado o uso de um canal no YouTube desde 2018, onde vídeos são produzidos num formato específico, ajudando a disseminar informações e práticas para o público alvo. Além disso, as mídias digitais são vistas como uma ferramenta importante para trabalhar em comunidade e trocar informações de forma mais ampla.
Link para o vídeo: https://youtu.be/3I4kSaD1sNs?t=1383</t>
  </si>
  <si>
    <t>P037</t>
  </si>
  <si>
    <t>resp_072df4cb2034b634006a75560842b081a1a4f260e7e8c8b3c8</t>
  </si>
  <si>
    <t>Como foi a experiência de uma ATER de qualidade durante a pandemia?</t>
  </si>
  <si>
    <t>Resumo do teste RAG</t>
  </si>
  <si>
    <t>Experiência de ater de qualidade na pandemia</t>
  </si>
  <si>
    <t>P038</t>
  </si>
  <si>
    <t>019_Uso das mídias digitais na ATER.json | 017_Uso das mídias digitais na ATER.json</t>
  </si>
  <si>
    <t>Quais disputas envolvem a continuidade ou o fim da Extensão Rural pública?</t>
  </si>
  <si>
    <t>Continuidade ou fim da Extensão Rural pública Um cenário de disputas</t>
  </si>
  <si>
    <t>Indicador</t>
  </si>
  <si>
    <t>P039</t>
  </si>
  <si>
    <t>Como a Escola Família Agrícola contribui para o desenvolvimento do campo?</t>
  </si>
  <si>
    <t>Valor</t>
  </si>
  <si>
    <t>A Escola Família Agrícola e sua contribuição para o desenvolvimento do Campo</t>
  </si>
  <si>
    <t>Avaliação manual</t>
  </si>
  <si>
    <t>Encontrei essa resposta nas transcrições da Rede Aurora.
Os desafios e possibilidades do desenvolvimento rural em tempos de transformação incluem a diversificação produtiva e econômica, a agroindústria familiar, os processos de agroecologia, a produção orgânica e o turismo rural. Outro aspecto importante é a necessidade de políticas públicas para apoiar o desenvolvimento rural, uma vez que não há desenvolvimento sem a presença do Estado.
Você pode assistir ao vídeo completo aqui: https://youtu.be/GTeFj6ZTJ7Q?t=1636</t>
  </si>
  <si>
    <t>resp_0a6ecdfb8abde195006a75561d8d6081a1881d1837b63c2e29</t>
  </si>
  <si>
    <t>Quantidade</t>
  </si>
  <si>
    <t>P040</t>
  </si>
  <si>
    <t>Perguntas cadastradas</t>
  </si>
  <si>
    <t>Qual é o impacto das ferramentas digitais nas ações de extensão?</t>
  </si>
  <si>
    <t>Ações de extensão e o impacto das ferramentas digitais</t>
  </si>
  <si>
    <t>018_Desenvolvimento rural em tempos de transformação- desafios e possibilidades.json | 020_Desenvolvimento rural em tempos de transformação- desafios e possibilidades.json</t>
  </si>
  <si>
    <t>P041</t>
  </si>
  <si>
    <t>Na relação entre ATER, ferramentas digitais e agricultura familiar, quem controla quem?</t>
  </si>
  <si>
    <t>Ater, ferramentas digitais e agricultura familiar quem controla quem</t>
  </si>
  <si>
    <t>P042</t>
  </si>
  <si>
    <t>Qual é a relação entre agroecologia e construção do conhecimento na agricultura familiar?</t>
  </si>
  <si>
    <t>Encontrei essa resposta nas transcrições da Rede Aurora.
O PAS Nordeste é mencionado como mais adequado ser chamado de estratégia, ao invés de programa. Ele foca na produção e consumo de alimentos saudáveis.
As Redes Territoriais de ATER são descritas como algo inovador que traz uma nova dimensão à assistência técnica no território. Elas funcionam como núcleos técnicos que melhoram a qualidade das políticas públicas e auxiliam na eficiência dessas políticas para a agricultura familiar.
Você pode assistir aos detalhes nos links:
- Sobre o PAS Nordeste: https://youtu.be/OrJJhkyK_d4?t=248
- Sobre as Redes Territoriais de ATER: https://youtu.be/OrJJhkyK_d4?t=2092</t>
  </si>
  <si>
    <t>A Agroecologia e o conhecimento na Agricultura Familiar</t>
  </si>
  <si>
    <t>resp_05944b007486bd8e006a7556338b1881a2845109787f1b1be3</t>
  </si>
  <si>
    <t>P043</t>
  </si>
  <si>
    <t>Como as famílias de agricultores se apropriam do telefone celular na rua e na roça?</t>
  </si>
  <si>
    <t>021_PAS Nordeste e as Redes Territoriais de ATER.json | 019_PAS Nordeste e as Redes Territoriais de ATER.json</t>
  </si>
  <si>
    <t>Tem na rua, tem na roça a apropriação do telefone celular pelas famílias de agricultores</t>
  </si>
  <si>
    <t>Fonte esperada recuperada e resposta coerente. Melhor score RAG de 0,5121, um dos menores entre as perguntas presentes; acompanhar a estabilidade nas repetições.</t>
  </si>
  <si>
    <t>P044</t>
  </si>
  <si>
    <t>Quais são os parâmetros da ATER Digital no Brasil?</t>
  </si>
  <si>
    <t>Parâmetros da ATER Digital no Brasil</t>
  </si>
  <si>
    <t>P045</t>
  </si>
  <si>
    <t>Como a história da Extensão Rural Social ajuda a pensar suas perspectivas futuras?</t>
  </si>
  <si>
    <t>Encontrei essa resposta nas transcrições da Rede Aurora.
As perspectivas digitais para a ATER (Assistência Técnica e Extensão Rural) envolvem diversas políticas públicas que buscam integrar a digitalização, o letramento digital e a autodeclaração. Políticas de compensação de carbono estão sendo implementadas com o envolvimento dos jovens, criando um ambiente de monitoramento e interação. Além disso, a gamificação e o cumprimento de metas são parte das estratégias para envolver mais efetivamente os participantes no processo de digitalização.
Vídeo correspondente: https://youtu.be/4-fNOfi7AwU?t=1558</t>
  </si>
  <si>
    <t>História e perspectivas futuras da Extensão Rural Social</t>
  </si>
  <si>
    <t>resp_0afdddce01314b3d006a75564b7ce0819ea3803e073300200d</t>
  </si>
  <si>
    <t>P046</t>
  </si>
  <si>
    <t>O que é a iniciativa Lamparina e como ela relaciona tecnologia digital, violência e mulheres rurais?</t>
  </si>
  <si>
    <t>Lamparina tecnologia digital, violência e mulheres rurais</t>
  </si>
  <si>
    <t>020_Perspectivas digitais para a ATER- digitalização, letramento digital, autodeclaração e p. públicas.json | 022_Perspectivas digitais para a ATER- digitalização, letramento digital, autodeclaração e p. públicas.json</t>
  </si>
  <si>
    <t>Fonte esperada recuperada e resposta relacionada ao tema. A resposta cobre o conjunto da questão de forma mais geral e não desenvolve com a mesma profundidade todos os eixos citados na pergunta.</t>
  </si>
  <si>
    <t>P047</t>
  </si>
  <si>
    <t>Quais conteúdos e ferramentas a Plataforma ATER+ Digital oferece a extensionistas e agricultores?</t>
  </si>
  <si>
    <t>Plataforma Ater+ Digital conteúdos e ferramentas para extensionistas e agricultores</t>
  </si>
  <si>
    <t>P048</t>
  </si>
  <si>
    <t>Encontrei essa resposta nas transcrições da Rede Aurora.
O WhatsApp é utilizado na comunicação rural como uma ferramenta de comunicação instantânea que permite uma fala mais direta e intensifica o diálogo entre os participantes. Ele possibilita a interação e é especialmente importante para facilitar o envolvimento de extensionistas, agricultores e outros envolvidos na comunicação rural.
Veja mais no vídeo: https://youtu.be/GP4ZtB5TmZQ?t=3696</t>
  </si>
  <si>
    <t>Como ocorre a adoção e a difusão da agricultura digital entre produtores rurais?</t>
  </si>
  <si>
    <t>resp_0a50b9fd061f9839006a75565fb18081a2a756f5b01ee35331</t>
  </si>
  <si>
    <t>Agricultura digital adoção e difusão entre produtores rurais</t>
  </si>
  <si>
    <t>Resultados gravados</t>
  </si>
  <si>
    <t>P049</t>
  </si>
  <si>
    <t>O que é o ÉdoCampo e como ele favorece a comercialização on-line de produtos rurais?</t>
  </si>
  <si>
    <t>023_Semeando mensagens, colhendo diálogos- a comunicação rural e o uso do WhatsApp.json | 021_Semeando mensagens, colhendo diálogos- a comunicação rural e o uso do WhatsApp.json</t>
  </si>
  <si>
    <t>ÉdoCampo – uma oportunidade para a comercialização on line de produtos rurais</t>
  </si>
  <si>
    <t>P050</t>
  </si>
  <si>
    <t>O que a análise de usabilidade dos portais de órgãos públicos de ATER Digital identificou?</t>
  </si>
  <si>
    <t>Análise da usabilidade de portais de internet de órgãos públicos de ATER digital</t>
  </si>
  <si>
    <t>Conhecimento externo</t>
  </si>
  <si>
    <t>Encontrei essa resposta nas transcrições da Rede Aurora.
O projeto Pila Verde consiste em usar adubo orgânico para hortas e vegetações caseiras, proporcionando uma fonte direta de alimentação e promovendo sustentabilidade. Já o projeto Pila Azul envolve o uso de materiais recicláveis como fonte de renda para famílias carentes e facilita o trabalho dos catadores, contribuindo para a inclusão social e melhora da qualidade de vida.
Para mais detalhes, veja o vídeo [aqui](https://youtu.be/OmEJCAXaBlg?t=906).</t>
  </si>
  <si>
    <t>A001</t>
  </si>
  <si>
    <t>resp_08313ed2c12d8d59006a7556752d48819dbe61d28e0343cefb</t>
  </si>
  <si>
    <t>AUSENTE</t>
  </si>
  <si>
    <t>Qual é a capital da Islândia?</t>
  </si>
  <si>
    <t>Islândia, Reykjavík</t>
  </si>
  <si>
    <t>A002</t>
  </si>
  <si>
    <t>Quem descobriu a penicilina?</t>
  </si>
  <si>
    <t>024_Segurança Alimentar e Qualidade de Vida contribuições do Pila Verde e Pila Azul.json | 022_Segurança Alimentar e Qualidade de Vida contribuições do Pila Verde e Pila Azul.json</t>
  </si>
  <si>
    <t>penicilina, Alexander Fleming</t>
  </si>
  <si>
    <t>A003</t>
  </si>
  <si>
    <t>Quem escreveu Dom Quixote?</t>
  </si>
  <si>
    <t>Dom Quixote, Miguel de Cervantes</t>
  </si>
  <si>
    <t>A004</t>
  </si>
  <si>
    <t>Quem formulou a teoria da relatividade?</t>
  </si>
  <si>
    <t>teoria da relatividade, Albert Einstein</t>
  </si>
  <si>
    <t>Encontrei essa resposta nas transcrições da Rede Aurora.
A Extensão Rural atua como protagonista nas Caminhadas Internacionais na Natureza promovendo e organizando essas atividades, que acontecem em propriedades rurais, permitindo interação com a natureza e animais. Também contribui para a geração de renda local, permitindo que os produtores vendam produtos diretamente aos turistas. Essas ações fortalecem o turismo rural por meio da extensão da força rural, essencial para a existência das caminhadas.
Você pode ver mais detalhes no vídeo a seguir: https://youtu.be/mxxvhRNuobQ?t=183.</t>
  </si>
  <si>
    <t>resp_0011332dfca3f2e7006a7556885cf081929d64e742d2310ef7</t>
  </si>
  <si>
    <t>A005</t>
  </si>
  <si>
    <t>Respostas OK</t>
  </si>
  <si>
    <t>Qual é o ponto mais profundo dos oceanos?</t>
  </si>
  <si>
    <t>Fossa das Marianas, Challenger Deep</t>
  </si>
  <si>
    <t>023_Caminhadas Internacional na Natureza Extensão Rural como protagonista do turismo.json</t>
  </si>
  <si>
    <t>A006</t>
  </si>
  <si>
    <t>Quem pintou a Mona Lisa?</t>
  </si>
  <si>
    <t>Mona Lisa, Leonardo da Vinci</t>
  </si>
  <si>
    <t>Encontrei essa resposta nas transcrições da Rede Aurora.
A Extensão Rural, através da Emater-RS-Ascar, atuou no Rio Grande do Sul prestando serviços de proteção de fontes de água no meio rural, que se tornam especialmente buscados durante os períodos de estiagem e enchentes. Houve também ações relacionadas ao crédito rural, como subvenções e renegociação de dívidas, embora tenham mencionado a necessidade de mais apoio diante da gravidade dos eventos climáticos. Além disso, promoveu atividades educativas e de conscientização junto às comunidades locais sobre as previsões climáticas e a preparação para eventos extremos.
Você pode ver mais detalhes no vídeo:
https://youtu.be/upu1HEnvGRA?t=677</t>
  </si>
  <si>
    <t>resp_0e2b5193a2b0d219006a75569b976881a2ad4c752b0724adcb</t>
  </si>
  <si>
    <t>A007</t>
  </si>
  <si>
    <t>Não respondeu</t>
  </si>
  <si>
    <t>Quem escreveu Hamlet?</t>
  </si>
  <si>
    <t>Hamlet, William Shakespeare</t>
  </si>
  <si>
    <t>024_Ações da Extensão Rural impactos das chuvas, cheias e estiagem no Rio Grande do Sul.json</t>
  </si>
  <si>
    <t>A008</t>
  </si>
  <si>
    <t>O que afirma o teorema de Pitágoras?</t>
  </si>
  <si>
    <t>teorema de Pitágoras, Pitágoras</t>
  </si>
  <si>
    <t>A009</t>
  </si>
  <si>
    <t>O que é a sequência de Fibonacci?</t>
  </si>
  <si>
    <t>Fibonacci</t>
  </si>
  <si>
    <t>Erros</t>
  </si>
  <si>
    <t>Encontrei essa resposta nas transcrições da Rede Aurora.
A cidadania alimentar envolve a participação ativa das pessoas na governança e transformação dos sistemas alimentares. A ideia é que os cidadãos tomem parte no processo de decisão e atuação, ampliando o envolvimento na criação de sistemas mais justos e sustentáveis. Isso significa ver o alimento mais como um valor de uso do que como uma simples mercadoria, enfrentando, assim, desafios globais como a mudança climática e a questão dos imigrantes.
https://youtu.be/sTEJFU7Jmvg?t=2932</t>
  </si>
  <si>
    <t>A010</t>
  </si>
  <si>
    <t>resp_07d4f3934e3a999a006a7556b214f4819db012c29a2a06074b</t>
  </si>
  <si>
    <t>Para que serve o telescópio espacial Hubble?</t>
  </si>
  <si>
    <t>Hubble</t>
  </si>
  <si>
    <t>A011</t>
  </si>
  <si>
    <t>025_A cidadania alimentar para a transformação dos sistemas alimentares.json</t>
  </si>
  <si>
    <t>Por que Plutão deixou de ser classificado como planeta?</t>
  </si>
  <si>
    <t>Plutão</t>
  </si>
  <si>
    <t>Alucinação</t>
  </si>
  <si>
    <t>A012</t>
  </si>
  <si>
    <t>Quais são os principais anéis de Saturno?</t>
  </si>
  <si>
    <t>Saturno</t>
  </si>
  <si>
    <t>Encontrei essa resposta nas transcrições da Rede Aurora.
A educação em saúde contribui para a prevenção da Cria Pútrida Americana ao orientar os criadores de abelhas sobre a identificação de sinais da doença e práticas seguras. Boas práticas e orientações adequadas são fundamentais para evitar a entrada da doença nos apiários.
Assista mais em: https://youtu.be/n88jNHcE4bo?t=798</t>
  </si>
  <si>
    <t>resp_0862e410566e1433006a7556cab0a881a3bc7e0cea744abf4a</t>
  </si>
  <si>
    <t>A013</t>
  </si>
  <si>
    <t>Quais são as duas luas de Marte?</t>
  </si>
  <si>
    <t>Fobos, Deimos</t>
  </si>
  <si>
    <t>A014</t>
  </si>
  <si>
    <t>026_A educação em saúde na prevenção da Cria Pútrida Americana.json</t>
  </si>
  <si>
    <t>Qual é a função das mitocôndrias?</t>
  </si>
  <si>
    <t>mitocôndrias</t>
  </si>
  <si>
    <t>Perguntas PRESENTES processadas</t>
  </si>
  <si>
    <t>A015</t>
  </si>
  <si>
    <t>Quem propôs o modelo da dupla hélice do DNA?</t>
  </si>
  <si>
    <t>dupla hélice, Watson, Crick</t>
  </si>
  <si>
    <t>Encontrei essa resposta nas transcrições da Rede Aurora.
Para o balanço da PNATER em 2023, os valores mencionados foram 100 milhões. Em 2024, foram mencionados 80 milhões.
Você pode conferir a explicação completa no vídeo a partir de 5272 segundos:
https://youtu.be/4iSUMoci9JI?t=5272</t>
  </si>
  <si>
    <t>resp_04c3932f80e3e472006a7556e28858819c8df2b42412d131e4</t>
  </si>
  <si>
    <t>A016</t>
  </si>
  <si>
    <t>Onde fica a Grande Barreira de Corais?</t>
  </si>
  <si>
    <t>Grande Barreira de Corais</t>
  </si>
  <si>
    <t>027_Avaliação do Balanço da PNATER 2023 2024 DATER MDA.json</t>
  </si>
  <si>
    <t>Indeterminado</t>
  </si>
  <si>
    <t>A017</t>
  </si>
  <si>
    <t>Onde fica o deserto do Saara?</t>
  </si>
  <si>
    <t>deserto do Saara</t>
  </si>
  <si>
    <t>Encontrei essa resposta nas transcrições da Rede Aurora.
Na Extensão Social, são realizadas ações de identificação de pessoas com deficiência através de visitas e planejamento de propriedade. O objetivo é entender e abordar as dificuldades enfrentadas por essas pessoas. Além disso, é importante criar situações para discutir questões importantes e responsáveis com esse público.
Assista ao vídeo completo para mais detalhes: https://youtu.be/TnnR_SB41Cc?t=434</t>
  </si>
  <si>
    <t>A018</t>
  </si>
  <si>
    <t>resp_0b6fda6340a8691e006a7556f6e85881a1b3f7ea5bc7c3613b</t>
  </si>
  <si>
    <t>Quem construiu o Taj Mahal?</t>
  </si>
  <si>
    <t>Taj Mahal</t>
  </si>
  <si>
    <t>Perguntas AUSENTES processadas</t>
  </si>
  <si>
    <t>028_Ações com PCDs na Extensão Social.json</t>
  </si>
  <si>
    <t>A019</t>
  </si>
  <si>
    <t>Em qual país fica Machu Picchu?</t>
  </si>
  <si>
    <t>Machu Picchu</t>
  </si>
  <si>
    <t>A020</t>
  </si>
  <si>
    <t>Quando foi construída a Grande Muralha da China?</t>
  </si>
  <si>
    <t>Grande Muralha da China</t>
  </si>
  <si>
    <t>Encontrei essa resposta nas transcrições da Rede Aurora.
O Sistema Asbraer apoia a formação de extensionistas usando tecnologia de várias maneiras. Eles fornecem tablets aos técnicos para que possam realizar atendimentos sem o uso de papel. Esses tablets permitem que os técnicos utilizem um sistema que funciona offline e realiza sincronizações periódicas via rede móvel a cada 15 minutos, o que facilita o trabalho em áreas remotas. Além disso, há uma ênfase no uso de internet via satélite para alcançar locais de difícil acesso, como regiões ribeirinhas e quilombolas, garantindo que os extensionistas possam atender as demandas independentemente da localização.
Aqui está o link para o vídeo mencionado:
https://youtu.be/uSUtmuU1awY?t=2485</t>
  </si>
  <si>
    <t>Sem avaliação</t>
  </si>
  <si>
    <t>resp_0cf28f3af5187e75006a75570956708192be52bc7ce7eb2e6b</t>
  </si>
  <si>
    <t>A021</t>
  </si>
  <si>
    <t>Para que serviam as pirâmides de Gizé?</t>
  </si>
  <si>
    <t>pirâmides de Gizé</t>
  </si>
  <si>
    <t>029_Sistema Asbraer para formação de extensionistas e uso de tecnologia no campo.json</t>
  </si>
  <si>
    <t>A022</t>
  </si>
  <si>
    <t>Como terminou o Império Romano do Ocidente?</t>
  </si>
  <si>
    <t>Império Romano do Ocidente</t>
  </si>
  <si>
    <t>A023</t>
  </si>
  <si>
    <t>Encontrei essa resposta nas transcrições da Rede Aurora.
A ATER (Assistência Técnica e Extensão Rural) trabalha com os povos tradicionais quilombolas no Rio Grande do Sul desde 1999. O foco é dar visibilidade e suporte às comunidades, que possuem uma diversidade de aptidões, como produção agropecuária diversificada e artesanato. Através de colaborações com instituições como o Instituto do Patrimônio Histórico, a ATER participa da patrimonialização dos bens culturais quilombolas da região.
Link para o vídeo: https://youtu.be/2h00rmcaZi0?t=186</t>
  </si>
  <si>
    <t>resp_0d6fda9eccbf9b4a006a75571fd63c81a1aaf3d03494dc02bf</t>
  </si>
  <si>
    <t>Quem compôs a Nona Sinfonia?</t>
  </si>
  <si>
    <t>Nona Sinfonia, Beethoven</t>
  </si>
  <si>
    <t>A024</t>
  </si>
  <si>
    <t>030_ATERS com povos tradicionais quilombolas do RS.json</t>
  </si>
  <si>
    <t>Quem compôs A Flauta Mágica?</t>
  </si>
  <si>
    <t>A Flauta Mágica, Mozart</t>
  </si>
  <si>
    <t>A025</t>
  </si>
  <si>
    <t>Quem pintou A Noite Estrelada?</t>
  </si>
  <si>
    <t>Duração média (ms)</t>
  </si>
  <si>
    <t>A Noite Estrelada, Van Gogh</t>
  </si>
  <si>
    <t>Encontrei essa resposta nas transcrições da Rede Aurora.
Os desafios na produção orgânica na agricultura familiar incluem a necessidade de muita mão de obra para serviços manuais, já que muitos processos exigem operações manuais intensivas. Além disso, o preço elevado dos insumos pode ser um obstáculo. Há também o desafio de tornar a produção mais conhecida e de lidar com a questão de que a produção orgânica pode ser vista como elitista, o que cria dificuldades de mercado.
Por outro lado, há inúmeras oportunidades, como o incentivo à produção orgânica por meio de maior visibilidade na internet e nas redes sociais.
Link para o vídeo: https://youtu.be/Q_3Ridp-wuw?t=3708</t>
  </si>
  <si>
    <t>A026</t>
  </si>
  <si>
    <t>resp_01d1cdc127407a03006a755738b6d8819cad192ef966c2b1e0</t>
  </si>
  <si>
    <t>O que a obra Guernica representa?</t>
  </si>
  <si>
    <t>Guernica, Picasso</t>
  </si>
  <si>
    <t>031_Desafios e oportunidades da produção orgânica na agricultura familiar.json</t>
  </si>
  <si>
    <t>A027</t>
  </si>
  <si>
    <t>Quem foi Ada Lovelace?</t>
  </si>
  <si>
    <t>Ada Lovelace</t>
  </si>
  <si>
    <t>A028</t>
  </si>
  <si>
    <t>Qual foi a contribuição de Alan Turing para a computação?</t>
  </si>
  <si>
    <t>Alan Turing</t>
  </si>
  <si>
    <t>Encontrei essa resposta nas transcrições da Rede Aurora.
A homeopatia é apresentada como uma ferramenta para tratar não apenas seres humanos, mas também animais, plantas, solo, água e ar. Tudo o que tem vida pode ser tratado pela homeopatia, que atua como uma ferramenta para reduzir custos e melhorar a qualidade de vida no campo. A abordagem envolve tratamento de diferentes aspectos, incluindo físicos, mentais e emocionais.
Link para o vídeo: https://youtu.be/MCWArS77pK8?t=1291</t>
  </si>
  <si>
    <t>resp_094081076ea0eba9006a75574eb950819da40a9151dde4ca4e</t>
  </si>
  <si>
    <t>Duração mediana (ms)</t>
  </si>
  <si>
    <t>A029</t>
  </si>
  <si>
    <t>Quem criou o kernel Linux?</t>
  </si>
  <si>
    <t>Linus Torvalds, kernel Linux</t>
  </si>
  <si>
    <t>032_Homeopatia como ferramenta de saúde e qualidade de vida no campo.json</t>
  </si>
  <si>
    <t>A030</t>
  </si>
  <si>
    <t>Matriz de recuperação do File Search</t>
  </si>
  <si>
    <t>Quem criou a linguagem Python?</t>
  </si>
  <si>
    <t>Guido van Rossum, linguagem Python</t>
  </si>
  <si>
    <t>A031</t>
  </si>
  <si>
    <t/>
  </si>
  <si>
    <t>Quem inventou a World Wide Web?</t>
  </si>
  <si>
    <t>Tim Berners-Lee, World Wide Web</t>
  </si>
  <si>
    <t>Encontrei essa resposta nas transcrições da Rede Aurora.
As potencialidades da Tecnologia da Informação na agricultura familiar incluem a facilitação do acesso à informação e ao conhecimento, a melhoria no gerenciamento das atividades agrícolas e a possibilidade de integração de mercados, o que potencializa a comercialização dos produtos. Além disso, a tecnologia pode ajudar na sustentabilidade e na adaptação às mudanças climáticas.
Os desafios envolvem a necessidade de infraestrutura adequada, como acesso à internet, e a capacitação dos agricultores para utilizarem essas tecnologias de maneira eficaz. Também é essencial considerar o custo de implementação e a resistência à mudança cultural na adoção de novas tecnologias.
https://youtu.be/ppNW5gkBxJo?t=331</t>
  </si>
  <si>
    <t>resp_0223170e46c748f3006a75576291ec81a39b85fd9991a9d9d2</t>
  </si>
  <si>
    <t>A032</t>
  </si>
  <si>
    <t>Verdadeiro positivo (VP)</t>
  </si>
  <si>
    <t>Quem é conhecido pelo pseudônimo Satoshi Nakamoto?</t>
  </si>
  <si>
    <t>Satoshi Nakamoto, Bitcoin</t>
  </si>
  <si>
    <t>031_Desafios e oportunidades da produção orgânica na agricultura familiar.json | 033_Tecnologia da Informação e Agricultura Familiar potências e desafios.json</t>
  </si>
  <si>
    <t>A033</t>
  </si>
  <si>
    <t>Fonte esperada recuperada e resposta final coerente. O File Search também trouxe um arquivo de outro tema, mas isso não desviou a resposta final.</t>
  </si>
  <si>
    <t>Onde é disputado o Grande Prêmio de Mônaco de Fórmula 1?</t>
  </si>
  <si>
    <t>Grande Prêmio de Mônaco, Fórmula 1</t>
  </si>
  <si>
    <t>A034</t>
  </si>
  <si>
    <t>Quem criou o mangá Naruto?</t>
  </si>
  <si>
    <t>Naruto, Masashi Kishimoto</t>
  </si>
  <si>
    <t>Encontrei essa resposta nas transcrições da Rede Aurora.
As metodologias participativas na Extensão Rural no Semiárido brasileiro envolvem a interação efetiva com as comunidades locais, considerando suas especificidades e demandas. O enfoque está em mediar conflitos socioambientais e planejar intervenções sociais e técnicas que se alinhem com as necessidades locais. O processo de participação é valorizado, priorizando a visualização e socialização das discussões. A Extensão Rural é vista como um processo de ensino e aprendizagem contínuo, onde as metodologias participativas ativas desempenham um papel central.
https://youtu.be/aFWfhRy6xg8?t=714</t>
  </si>
  <si>
    <t>resp_0a643a0494fef3e1006a755776f02881a28bbc2d6ff527bd8d</t>
  </si>
  <si>
    <t>A035</t>
  </si>
  <si>
    <t>Quem escreveu O Senhor dos Anéis?</t>
  </si>
  <si>
    <t>O Senhor dos Anéis, Tolkien</t>
  </si>
  <si>
    <t>034_Metodologias participativas na Extensão Rural no contexto do Semiárido Brasileiro.json</t>
  </si>
  <si>
    <t>Falso negativo (FN)</t>
  </si>
  <si>
    <t>A036</t>
  </si>
  <si>
    <t>Quem dirigiu o primeiro filme de Star Wars?</t>
  </si>
  <si>
    <t>Star Wars, George Lucas</t>
  </si>
  <si>
    <t>A037</t>
  </si>
  <si>
    <t>Em que ano o Titanic afundou?</t>
  </si>
  <si>
    <t>Encontrei essa resposta nas transcrições da Rede Aurora.
A construção do conhecimento em uma ATER feminista e agroecológica no Nordeste do Brasil é caracterizada por uma abordagem coletiva e conectada em rede. O projeto busca entender a necessidade de uma ATER feminista por meio de ações qualificadas. Isso é essencial porque desafia a lógica patriarcal frequentemente reproduzida nas políticas públicas. A ideia do projeto desde o início foi criada de maneira colaborativa, com reuniões e seminários que ajudam a formar esse conhecimento compartilhado.
https://youtu.be/XSO6Yjk2Xxo?t=263</t>
  </si>
  <si>
    <t>Titanic</t>
  </si>
  <si>
    <t>resp_0426e908e5fe06a3006a75578edad481a19f1cb8eecc0aa037</t>
  </si>
  <si>
    <t>A038</t>
  </si>
  <si>
    <t>035_A construção do conhecimento em ATER feminista e agroecológica no Nordeste do Brasil.json</t>
  </si>
  <si>
    <t>Quem foi o primeiro ser humano a pisar na Lua?</t>
  </si>
  <si>
    <t>Neil Armstrong, Apollo 11</t>
  </si>
  <si>
    <t>A039</t>
  </si>
  <si>
    <t>Verdadeiro negativo (VN)</t>
  </si>
  <si>
    <t>Qual é a missão da sonda Voyager 1?</t>
  </si>
  <si>
    <t>Voyager 1</t>
  </si>
  <si>
    <t>A040</t>
  </si>
  <si>
    <t>Qual moeda é usada na Suíça?</t>
  </si>
  <si>
    <t>franco suíço, Suíça</t>
  </si>
  <si>
    <t>A041</t>
  </si>
  <si>
    <t>Qual é o maior mamífero do mundo?</t>
  </si>
  <si>
    <t>Encontrei essa resposta nas transcrições da Rede Aurora.
O plano de vida rural, a ATER Digital e os negócios de impacto socioambiental se relacionam através da implementação de tecnologias e práticas sustentáveis que visam melhorar a qualidade de vida dos produtores rurais e promover a sustentabilidade ambiental e social. A ATER Digital faz uso de aplicativos móveis para oferecer assistência técnica e extensão rural, enquanto os negócios de impacto socioambiental buscam criar valor econômico ao mesmo tempo que preservam o meio ambiente e promovem o bem-estar social. Esses elementos se unem para encorajar a permanência dos jovens no campo, garantindo sucessão rural e um desenvolvimento agrícola sustentável.
Você pode assistir ao vídeo completo aqui: https://youtu.be/kbojPeBY1js?t=1742</t>
  </si>
  <si>
    <t>baleia-azul</t>
  </si>
  <si>
    <t>resp_000679d483e3df1d006a7557a289588191bea78f56d38bc52e</t>
  </si>
  <si>
    <t>A042</t>
  </si>
  <si>
    <t>Qual é o animal terrestre mais veloz?</t>
  </si>
  <si>
    <t>036_Plano de vida rural ATER digital e inovações em negócios de impacto socioambiental.json</t>
  </si>
  <si>
    <t>guepardo</t>
  </si>
  <si>
    <t>Falso positivo (FP)</t>
  </si>
  <si>
    <t>A043</t>
  </si>
  <si>
    <t>Quantos corações tem um polvo?</t>
  </si>
  <si>
    <t>polvo, três corações</t>
  </si>
  <si>
    <t>A044</t>
  </si>
  <si>
    <t>Encontrei essa resposta nas transcrições da Rede Aurora.
Durante a pandemia, a experiência de ATER de qualidade teve que se adaptar significativamente. Diego Adilio da Silva, da EPAGRI-SC, mencionou que, mesmo com diversos percalços, o ritmo não diminuiu. Realizaram ao menos uma live por semana e estabeleceram rotinas quase como um programa semanal com horário e dia certos para se encontrar com os produtores. Isso permitiu uma continuidade no suporte aos agricultores, utilizando o formato online como complementação ao trabalho de campo.
Para mais detalhes, você pode assistir ao vídeo completo aqui: https://youtu.be/DEs45k8vcoA?t=1024</t>
  </si>
  <si>
    <t>O ornitorrinco põe ovos?</t>
  </si>
  <si>
    <t>resp_0a2b292830db00f6006a7557b7619c81a2a3361acacd2d9a20</t>
  </si>
  <si>
    <t>ornitorrinco</t>
  </si>
  <si>
    <t>A045</t>
  </si>
  <si>
    <t>Quem foi Cleópatra VII?</t>
  </si>
  <si>
    <t>037_Experiência de ater de qualidade na pandemia.json</t>
  </si>
  <si>
    <t>Cleópatra</t>
  </si>
  <si>
    <t>A046</t>
  </si>
  <si>
    <t>O que foi a Guerra dos Cem Anos?</t>
  </si>
  <si>
    <t>Guerra dos Cem Anos</t>
  </si>
  <si>
    <t>Métricas de recuperação</t>
  </si>
  <si>
    <t>Encontrei essa resposta nas transcrições da Rede Aurora.
As disputas em torno da continuidade ou do fim da Extensão Rural pública envolvem diversos fatores. Um aspecto central é a crítica à abordagem difusionista que tem sido utilizada, além de questões sobre a sobreposição de ações nos territórios. Há também um debate interno dentro das entidades de Extensão Rural pública sobre o papel e a existência dessas instituições. Desde a perspectiva das entidades estaduais, como a EMATER, há um reconhecimento de sua importância como uma política pública que proporciona alcance a outras políticas para o meio rural.
Para mais detalhes, você pode assistir ao vídeo completo:
https://youtu.be/_M9K_iyyZlE?t=685</t>
  </si>
  <si>
    <t>A047</t>
  </si>
  <si>
    <t>resp_0b873b12863680a5006a7557ccf4bc819fad538b5036c7e19f</t>
  </si>
  <si>
    <t>Precisão</t>
  </si>
  <si>
    <t>Quem foi Gengis Khan?</t>
  </si>
  <si>
    <t>Gengis Khan</t>
  </si>
  <si>
    <t>A048</t>
  </si>
  <si>
    <t>038_Continuidade ou fim da Extensão Rural pública Um cenário de disputas.json</t>
  </si>
  <si>
    <t>O que foi a Rota da Seda?</t>
  </si>
  <si>
    <t>Rota da Seda</t>
  </si>
  <si>
    <t>A049</t>
  </si>
  <si>
    <t>Quem escreveu A Divina Comédia?</t>
  </si>
  <si>
    <t>A Divina Comédia, Dante Alighieri</t>
  </si>
  <si>
    <t>Encontrei essa resposta nas transcrições da Rede Aurora.
A Escola Família Agrícola contribui para o desenvolvimento do campo ao oferecer cursos técnicos, como o de fruticultura, que podem ser realizados à distância. Isso permite que os agricultores façam os cursos diretamente de suas propriedades, enfrentando os desafios inerentes ao processo de educação à distância.
Você pode assistir ao vídeo completo aqui: https://youtu.be/pA6XEW9vmIs?t=5696.</t>
  </si>
  <si>
    <t>resp_089336495ece3067006a7557e334e4819189bdc4c9a429d00e</t>
  </si>
  <si>
    <t>A050</t>
  </si>
  <si>
    <t>Quem criou o personagem Sherlock Holmes?</t>
  </si>
  <si>
    <t>Sherlock Holmes, Arthur Conan Doyle</t>
  </si>
  <si>
    <t>039_A Escola Família Agrícola e sua contribuição para o desenvolvimento do Campo.json</t>
  </si>
  <si>
    <t>Recall / Sensibilidade</t>
  </si>
  <si>
    <t>Encontrei essa resposta nas transcrições da Rede Aurora.
As ferramentas digitais impactaram significativamente as ações de extensão, especialmente durante períodos em que o acesso presencial a produtores foi restrito. Essas tecnologias permitiram manter a comunicação e a realização de ações de extensão através de meios digitais, o que antes era feito principalmente por visitas. Os grupos de jovens, por exemplo, puderam se manter ativos por meio de atividades focadas em lazer e esporte, com a utilização de ferramentas digitais para produção de conteúdo e interações, como demonstrado pelo número significativo de seguidores e interações nas redes sociais.
Link para o vídeo: https://youtu.be/xxLctM8UBNQ?t=810</t>
  </si>
  <si>
    <t>resp_012997f9f8335b8d006a7557f7ff7481a0a6458fca9d9e40e7</t>
  </si>
  <si>
    <t>040_Ações de extensão e o impacto das ferramentas digitais.json</t>
  </si>
  <si>
    <t>Especificidade</t>
  </si>
  <si>
    <t>Encontrei essa resposta nas transcrições da Rede Aurora.
Na discussão sobre a relação entre ATER, ferramentas digitais e agricultura familiar, a ênfase é colocada em como essas tecnologias servem para facilitar a interação e o trabalho entre seres humanos e a natureza, mediado pelo trabalho humano. As ferramentas digitais são vistas como auxiliadoras, melhorando essa relação ao aumentar o fluxo de informações e apoiar a tomada de decisões. Portanto, não se trata de controle, mas de um uso colaborativo dessas ferramentas para aprimorar práticas agrícolas.
https://youtu.be/NxppqHQeXeA?t=1860</t>
  </si>
  <si>
    <t>resp_012246fbc789844f006a75580feae481a2afba1b430b1b0701</t>
  </si>
  <si>
    <t>041_Ater, ferramentas digitais e agricultura familiar quem controla quem.json</t>
  </si>
  <si>
    <t>Acurácia</t>
  </si>
  <si>
    <t>Encontrei essa resposta nas transcrições da Rede Aurora.
A relação entre agroecologia e a construção do conhecimento na agricultura familiar é baseada em uma construção dialógica e participativa. Esse conhecimento é realizado coletivamente, integrando experiências práticas de agricultores e o intercâmbio de ideias entre diferentes atores do sistema agroecológico. A abordagem agroecológica valoriza o saber local acumulado ao longo de gerações e promove a articulação entre conhecimentos tradicionais e científicos. Essa construção de conhecimento é fundamental para promover sistemas de produção sustentáveis e adaptados às especificidades de cada ecossistema.
https://youtu.be/QHUf2v0mvxU?t=4296</t>
  </si>
  <si>
    <t>resp_027a0e22cb10d317006a755824a8e8819c98d90123cb94d16a</t>
  </si>
  <si>
    <t>042_A Agroecologia e o conhecimento na Agricultura Familiar.json</t>
  </si>
  <si>
    <t>Taxa de falso negativo</t>
  </si>
  <si>
    <t>Encontrei essa resposta nas transcrições da Rede Aurora. 
As famílias de agricultores se apropriam do telefone celular de várias maneiras. Os adultos utilizam o celular nas dinâmicas das atividades cotidianas, refletindo uma interação complexa entre hábitos, cultura, contextos sociais e necessidades individuais. Os jovens, por sua vez, frequentemente adotam um hábito tecnológico diário, ajustando a rotina à apropriação tecnológica do celular. A presença do celular é integrada às peculiaridades locais e direcionada para a realidade específica de cada município, facilitando tarefas como pagamento de boletos e acesso à inclusão digital.
Você pode acessar o vídeo completo aqui: [https://youtu.be/l9VforaCiXY?t=1658](https://youtu.be/l9VforaCiXY?t=1658).</t>
  </si>
  <si>
    <t>resp_04aa2b6bb7e25fff006a755842cc4481a288a20049bce029e0</t>
  </si>
  <si>
    <t>043_Tem na rua, tem na roça a apropriação do telefone celular pelas famílias de agricultores.json</t>
  </si>
  <si>
    <t>Taxa de falso positivo</t>
  </si>
  <si>
    <t>Encontrei essa resposta nas transcrições da Rede Aurora.
Os parâmetros da ATER Digital no Brasil destacam que as tecnologias de informação e comunicação são fundamentais e imprescindíveis para o processo. Elas estão integradas ao ambiente digital e remoto de forma a garantir a efetividade dos serviços prestados no campo.
Você pode conferir mais detalhes no vídeo completo: [Parâmetros da ATER Digital no Brasil](https://youtu.be/x5Itz6OJuoY?t=2353).</t>
  </si>
  <si>
    <t>resp_0e56a8939e6fbb46006a755860e678819fbca476f8f6d69093</t>
  </si>
  <si>
    <t>044_Parâmetros da ATER Digital no Brasil.json</t>
  </si>
  <si>
    <t>Encontrei essa resposta nas transcrições da Rede Aurora. 
A história da Extensão Rural Social é fundamental para pensar suas perspectivas futuras, pois ela destaca a importância da abordagem integrada e da articulação com diversos setores, como universidades e movimentos sociais. Luana Lucas Alves, da EMATER-RS-ASCAR, enfatiza a necessidade de enfrentar as mudanças climáticas e injustiças associadas, além de promover um consumo politizado e estratégias de desenvolvimento sustentável. Ela também ressalta a importância de pensar em formas alternativas de produção que estejam alinhadas com a nutrição e a saúde.
Aqui está o link para o vídeo correspondente:
https://youtu.be/Uq5629k-rz0?t=3602</t>
  </si>
  <si>
    <t>resp_016e1a50a4b2db16006a75587c366481a1bfdd498f3b6212f3</t>
  </si>
  <si>
    <t>Score médio — perguntas PRESENTE</t>
  </si>
  <si>
    <t>045_História e perspectivas futuras da Extensão Rural Social.json</t>
  </si>
  <si>
    <t>Encontrei essa resposta nas transcrições da Rede Aurora.
A iniciativa Lamparina busca problematizar o acesso desigual à internet e dispositivos móveis entre mulheres rurais. A proposta envolve a produção de dados para abordar desigualdades digitais e está voltada especificamente para a melhoria das condições de mulheres rurais. A iniciativa também procura estabelecer uma conexão entre tecnologia digital e mecanismos de combate à violência, promovendo um ambiente de suporte e melhoria das condições de vida dessas mulheres.
Assista ao vídeo completo aqui: https://youtu.be/MrYhdEQxbBo?t=304</t>
  </si>
  <si>
    <t>resp_032b57285d60c8ef006a75589274a88191af88367b31b0fdd7</t>
  </si>
  <si>
    <t>046_Lamparina tecnologia digital, violência e mulheres rurais.json</t>
  </si>
  <si>
    <t>Menor score — perguntas PRESENTE</t>
  </si>
  <si>
    <t>Encontrei essa resposta nas transcrições da Rede Aurora.
A Plataforma ATER+ Digital oferece conteúdos e ferramentas que incluem a metodologia de ensino e aprendizagem para extensionistas e técnicos do campo. A plataforma tem um aplicativo de celular utilizado pelos agricultores, que permite acesso às informações de forma semanal e facilita a implantação e acompanhamento dos conteúdos.
Essas informações visam apoiar tanto os extensionistas quanto os agricultores em suas atividades diárias e facilitar o acesso a conteúdos relevantes para melhorar sua atuação no campo.
Você pode assistir mais sobre isso no vídeo usando o link: https://youtu.be/tjCtdJCjyYI?t=3486.</t>
  </si>
  <si>
    <t>resp_05a7e880900bf245006a7558abf318819da6073fe4ba96da55</t>
  </si>
  <si>
    <t>047_Plataforma Ater+ Digital conteúdos e ferramentas para extensionistas e agricultores.json</t>
  </si>
  <si>
    <t>Escopo do teste executado</t>
  </si>
  <si>
    <t>Encontrei essa resposta nas transcrições da Rede Aurora.
A adoção e difusão da agricultura digital entre produtores rurais se dá através da utilização de softwares para gestão de propriedades, que é mais comum em fazendas de maior tamanho, geralmente a partir de 100 hectares. Os agricultores têm consciência dos benefícios da agricultura digital e desejam digitalizar suas atividades. No entanto, a adoção varia bastante, com um maior uso sendo observado em regiões como o Centro-Oeste do Brasil. A evolução da agricultura digital é vista como um caminho sem volta no meio rural, com a percepção de que novas tecnologias disruptivas estão sendo integradas continuamente.
Referência do vídeo: https://youtu.be/3JPJJiV7FyM?t=2624</t>
  </si>
  <si>
    <t>Execuções realizadas</t>
  </si>
  <si>
    <t>resp_0882e46af5be6e51006a7558c646908192bfb51c0b7b163371</t>
  </si>
  <si>
    <t>Perguntas executadas</t>
  </si>
  <si>
    <t>048_Agricultura digital adoção e difusão entre produtores rurais.json</t>
  </si>
  <si>
    <t>Encontrei essa resposta nas transcrições da Rede Aurora.
O ÉdoCampo é um marketplace que facilita a comercialização online de produtos rurais, permitindo que os consumidores façam uma única compra de produtos de diferentes produtores. Ele funciona de forma similar a outros marketplaces, onde é possível colocar itens de vários produtores no carrinho e efetuar um único pagamento. Além disso, o vendedor recebe o pagamento diretamente através de uma conta digital, facilitando a gestão financeira para os produtores.
https://youtu.be/9Bhifd-NixA?t=1107</t>
  </si>
  <si>
    <t>resp_0dff596476a7b74b006a7558db1c7081a1824f17b266a69d24</t>
  </si>
  <si>
    <t>Perguntas PRESENTE</t>
  </si>
  <si>
    <t>049_ÉdoCampo – uma oportunidade para a comercialização on line de produtos rurais.json</t>
  </si>
  <si>
    <t>Encontrei essa resposta nas transcrições da Rede Aurora.
A análise de usabilidade dos portais de órgãos públicos de ATER Digital identificou que, em geral, existe uma boa aplicação das heurísticas de usabilidade. No entanto, foram apontados pontos que podem ser melhorados para aprimorar a experiência do usuário. A visibilidade do status do sistema nos portais é considerada boa na maioria dos estados analisados, mas a abundância de informações e imagens pode dificultar a localização de informações específicas pelos usuários.
https://youtu.be/mO31S3AHyYY?t=2931</t>
  </si>
  <si>
    <t>resp_04bc366d71b5d4f8006a7558f3a1e881a1af7fd757aa480262</t>
  </si>
  <si>
    <t>Perguntas AUSENTE</t>
  </si>
  <si>
    <t>050_Análise da usabilidade de portais de internet de órgãos públicos de ATER digital.json</t>
  </si>
  <si>
    <t>Não encontrei essa resposta nas transcrições da Rede Aurora. A resposta abaixo utiliza conhecimento externo.
A capital da Islândia é Reykjavík.</t>
  </si>
  <si>
    <t>resp_014bc4309ec921b1006a7559061dc48191aff01e034f907022</t>
  </si>
  <si>
    <t>Avaliações preenchidas</t>
  </si>
  <si>
    <t>Corretamente informou que a resposta não foi encontrada nas transcrições e utilizou conhecimento externo. O File Search não retornou resultados acima do limiar configurado.</t>
  </si>
  <si>
    <t>Não encontrei essa resposta nas transcrições da Rede Aurora. A resposta abaixo utiliza conhecimento externo.
A penicilina foi descoberta por Alexander Fleming em 1928. Ele observou que uma substância produzida pelo fungo Penicillium notatum era capaz de matar bactérias.</t>
  </si>
  <si>
    <t>resp_0896c4ffbc65e1a4006a755916e0ac81a1800079316ceba0d8</t>
  </si>
  <si>
    <t>Decisões finais adequadas</t>
  </si>
  <si>
    <t>Não encontrei essa resposta nas transcrições da Rede Aurora. A resposta abaixo utiliza conhecimento externo.
Dom Quixote foi escrito por Miguel de Cervantes.</t>
  </si>
  <si>
    <t>resp_09237c570e18fe5f006a7559276ca4819d8946038257412f67</t>
  </si>
  <si>
    <t>Não encontrei essa resposta nas transcrições da Rede Aurora. A resposta abaixo utiliza conhecimento externo.
A teoria da relatividade foi formulada por Albert Einstein. Ela compreende a relatividade restrita, apresentada em 1905, e a relatividade geral, publicada em 1915.</t>
  </si>
  <si>
    <t>Taxa de decisão final adequada</t>
  </si>
  <si>
    <t>resp_0a8af3350576e93a006a755937ff8c81918eef3b811b784e98</t>
  </si>
  <si>
    <t>Não encontrei essa resposta nas transcrições da Rede Aurora. A resposta abaixo utiliza conhecimento externo.
O ponto mais profundo dos oceanos é a Fossa das Marianas, localizada no Oceano Pacífico. O local mais profundo dessa fossa é conhecido como Challenger Deep, que atinge aproximadamente 11.034 metros abaixo do nível do mar.</t>
  </si>
  <si>
    <t>resp_01fe1254ea362ee1006a75594879c481a1aeb602e70e327565</t>
  </si>
  <si>
    <t>IC 95% do recall — limite inferior (Wilson)</t>
  </si>
  <si>
    <t>IC 95% do recall — limite superior (Wilson)</t>
  </si>
  <si>
    <t>Limite superior implícito da taxa de falso negativo (95%)</t>
  </si>
  <si>
    <t>Não encontrei essa resposta nas transcrições da Rede Aurora. A resposta abaixo utiliza conhecimento externo.
A Mona Lisa foi pintada por Leonardo da Vinci.</t>
  </si>
  <si>
    <t>resp_0e2758d5de59a237006a755958ba6c81a391a99892fc7d7d43</t>
  </si>
  <si>
    <t>Repetições independentes realizadas</t>
  </si>
  <si>
    <t>Observação metodológica</t>
  </si>
  <si>
    <t>A bateria foi executada uma vez. Repetições independentes ficam como trabalho futuro e não integram os resultados desta dissertação.</t>
  </si>
  <si>
    <t>Não encontrei essa resposta nas transcrições da Rede Aurora. A resposta abaixo utiliza conhecimento externo.
"Hamlet" foi escrito por William Shakespeare.</t>
  </si>
  <si>
    <t>resp_001e6985d534ac18006a75596acc1481a286fc2114e38dd2b5</t>
  </si>
  <si>
    <t>Não encontrei essa resposta nas transcrições da Rede Aurora. A resposta abaixo utiliza conhecimento externo.
O teorema de Pitágoras afirma que, em um triângulo retângulo, o quadrado do comprimento da hipotenusa é igual à soma dos quadrados dos comprimentos dos catetos. Em termos matemáticos, se \(c\) é a hipotenusa e \(a\) e \(b\) são os catetos, então \(c^2 = a^2 + b^2\).</t>
  </si>
  <si>
    <t>resp_07913fa788687af7006a75597cb170819c9ee7037f3f5677a5</t>
  </si>
  <si>
    <t>Não encontrei essa resposta nas transcrições da Rede Aurora. A resposta abaixo utiliza conhecimento externo.
A sequência de Fibonacci é uma série de números onde cada número é a soma dos dois anteriores. Começa com 0 e 1, e os termos seguintes se desenvolvem assim: 0, 1, 1, 2, 3, 5, 8, 13, 21, etc. Esta sequência foi introduzida na matemática ocidental por Leonardo de Pisa, também conhecido como Fibonacci, por volta do século XIII. A sequência é famosa por suas propriedades matemáticas e suas relações com proporções naturais e fenomenais.</t>
  </si>
  <si>
    <t>resp_0efa5049a6a7efe0006a755990378481a388ece9a55eb0851c</t>
  </si>
  <si>
    <t>Não encontrei essa resposta nas transcrições da Rede Aurora. A resposta abaixo utiliza conhecimento externo.
O telescópio espacial Hubble é um observatório espacial que foi lançado em 1990 pela NASA. Ele serve para observar o universo em diversas faixas do espectro eletromagnético, principalmente no visível, ultravioleta e infravermelho próximo. O Hubble tem como objetivos principais:
1. Estudar a formação e evolução das galáxias.
2. Observar estrelas e planetas fora do nosso sistema solar.
3. Investigar fenômenos cósmicos, como buracos negros e explosões de supernovas.
4. Ajudar a determinar a taxa de expansão do universo, contribuindo para a compreensão de conceitos como a energia escura.
O Hubble tem sido crucial para muitas descobertas científicas, oferecendo imagens detalhadas do espaço e permitindo avanços significativos na astronomia.</t>
  </si>
  <si>
    <t>resp_0d3c4cf1e2d82eef006a7559a29c7081a2b7f1b57bf44d6414</t>
  </si>
  <si>
    <t>Não encontrei essa resposta nas transcrições da Rede Aurora. A resposta abaixo utiliza conhecimento externo.
Plutão deixou de ser classificado como um planeta em 2006 devido a uma decisão da União Astronômica Internacional (UAI). A definição de "planeta" foi revisada, exigindo que um planeta deve:
1. Estar em órbita ao redor do Sol.
2. Ter massa suficiente para ser arredondado pela sua própria gravidade.
3. Ter "limpado" a vizinhança ao redor da sua órbita.
Plutão atende aos dois primeiros critérios, mas não ao terceiro, pois sua órbita é compartilhada com outros objetos no Cinturão de Kuiper. Portanto, ele foi reclassificado como um "planeta anão".</t>
  </si>
  <si>
    <t>resp_09269a28e29eb452006a7559b999948191b7195c518ee4cd0c</t>
  </si>
  <si>
    <t>Não encontrei essa resposta nas transcrições da Rede Aurora. A resposta abaixo utiliza conhecimento externo.
Os principais anéis de Saturno são:
1. **Anel D**: O anel mais interno, muito tênue.
2. **Anel C**: Também conhecido como "anel crepe", está próximo ao Anel B.
3. **Anel B**: O mais largo e brilhante dos anéis.
4. **Anel A**: Está separado do Anel B pela Divisão de Cassini, uma lacuna clara.
5. **Anel F**: Um anel estreito e dinâmico logo fora do Anel A com características complexas.
6. **Anéis G e E**: Mais externos e menos visíveis, com o Anel E sendo o mais largo mas muito difuso.</t>
  </si>
  <si>
    <t>resp_0799a0503088ce6d006a7559cfffd0819299ab99c5e0c37e66</t>
  </si>
  <si>
    <t>Não encontrei essa resposta nas transcrições da Rede Aurora. A resposta abaixo utiliza conhecimento externo.
As duas luas de Marte são Fobos e Deimos.</t>
  </si>
  <si>
    <t>resp_01cc0657897998a1006a7559e38acc819299584e79b9d1ccf5</t>
  </si>
  <si>
    <t>Não encontrei essa resposta nas transcrições da Rede Aurora. A resposta abaixo utiliza conhecimento externo.
As mitocôndrias são organelas encontradas na maioria das células eucarióticas. Elas são conhecidas como as "usinas de energia" da célula, pois são responsáveis pela produção de ATP (adenosina trifosfato) através do processo de respiração celular. O ATP é a principal fonte de energia para a maioria das atividades celulares. Além disso, as mitocôndrias têm um papel importante em outros processos, como a sinalização celular, a diferenciação celular, a morte celular programada (apoptose) e o controle do ciclo celular e do crescimento celular.</t>
  </si>
  <si>
    <t>resp_0b3794058d0d60cd006a7559f88ff881a3be2fd97a78772a22</t>
  </si>
  <si>
    <t>Não encontrei essa resposta nas transcrições da Rede Aurora. A resposta abaixo utiliza conhecimento externo.
O modelo da dupla hélice do DNA foi proposto por James Watson e Francis Crick em 1953.</t>
  </si>
  <si>
    <t>resp_0d725068dc7f9e1c006a755a09dfb4819fa7f99491d8be3ae0</t>
  </si>
  <si>
    <t>Não encontrei essa resposta nas transcrições da Rede Aurora. A resposta abaixo utiliza conhecimento externo.
A Grande Barreira de Corais está localizada na costa nordeste da Austrália, no Mar de Coral. É a maior estrutura de recifes de coral do mundo e um patrimônio mundial da UNESCO.</t>
  </si>
  <si>
    <t>resp_0e706c748f616a7d006a755a19f5d081a19cfa0c8e119e0f96</t>
  </si>
  <si>
    <t>Não encontrei essa resposta nas transcrições da Rede Aurora. A resposta abaixo utiliza conhecimento externo.
O deserto do Saara está localizado no norte da África. Ele abrange partes de vários países, incluindo Argélia, Chade, Egito, Líbia, Mali, Mauritânia, Marrocos, Níger, Sudão e Tunísia. O Saara é o maior deserto quente do mundo.</t>
  </si>
  <si>
    <t>resp_0f11bcaab2c358ad006a755a2cc50081a39b0e198cf2395a72</t>
  </si>
  <si>
    <t>Não encontrei essa resposta nas transcrições da Rede Aurora. A resposta abaixo utiliza conhecimento externo.
O Taj Mahal foi construído pelo imperador Mughal Shah Jahan em memória de sua esposa Mumtaz Mahal. A construção começou em 1632 e foi concluída em 1653.</t>
  </si>
  <si>
    <t>resp_042448c54f901737006a755a3e639c819dba77961d96c4582d</t>
  </si>
  <si>
    <t>Não encontrei essa resposta nas transcrições da Rede Aurora. A resposta abaixo utiliza conhecimento externo.
Machu Picchu fica no Peru.</t>
  </si>
  <si>
    <t>resp_0c0d7505e3943973006a755a4e92ec81a28394c85d3729d30a</t>
  </si>
  <si>
    <t>Não encontrei essa resposta nas transcrições da Rede Aurora. A resposta abaixo utiliza conhecimento externo.
A construção da Grande Muralha da China começou no século III a.C., durante o reinado do primeiro imperador da China, Qin Shi Huang. Mais tarde, ela foi ampliada e reforçada por várias dinastias subsequentes, particularmente a Dinastia Ming (1368–1644).</t>
  </si>
  <si>
    <t>resp_0647286aa158bfe6006a755a607d2c81a19d24549781362555</t>
  </si>
  <si>
    <t>Não encontrei essa resposta nas transcrições da Rede Aurora. A resposta abaixo utiliza conhecimento externo.
As pirâmides de Gizé, localizadas no Egito, eram principalmente túmulos monumentais construídos durante o Antigo Reino. Elas serviam como locais de sepultamento para faraós, sendo parte importante de um complexo maior que incluía templos e outros edifícios religiosos. As pirâmides simbolizavam o poder e a divindade dos faraós, além de acreditar-se que ajudavam na transição para a vida após a morte, garantindo a imortalidade do rei. A Grande Pirâmide, em particular, foi construída para o faraó Khufu (Quéops).</t>
  </si>
  <si>
    <t>resp_0d8f9eec8f6cca1b006a755a73a530819fb415f9dd6121a57a</t>
  </si>
  <si>
    <t>Não encontrei essa resposta nas transcrições da Rede Aurora. A resposta abaixo utiliza conhecimento externo.
O Império Romano do Ocidente terminou oficialmente em 476 d.C. quando o último imperador, Rômulo Augusto, foi deposto por Odoacro, um líder bárbaro germânico. Este evento é frequentemente citado como o marco do fim do Império Romano do Ocidente, embora o poder e a influência de Roma já estivessem em declínio há algum tempo devido a fatores como invasões bárbaras, instabilidade política interna e dificuldades econômicas.</t>
  </si>
  <si>
    <t>resp_0264391dbd96a348006a755a88e5148192a4fa4679c65a47f0</t>
  </si>
  <si>
    <t>Não encontrei essa resposta nas transcrições da Rede Aurora. A resposta abaixo utiliza conhecimento externo.
A Nona Sinfonia foi composta por Ludwig van Beethoven.</t>
  </si>
  <si>
    <t>resp_0515485c7810d55d006a755a99d96481a387e8108af69cce91</t>
  </si>
  <si>
    <t>Não encontrei essa resposta nas transcrições da Rede Aurora. A resposta abaixo utiliza conhecimento externo.
A ópera "A Flauta Mágica" foi composta por Wolfgang Amadeus Mozart.</t>
  </si>
  <si>
    <t>resp_040fa47c700c8a46006a755aaaab60819cab281ce64fcaed33</t>
  </si>
  <si>
    <t>Não encontrei essa resposta nas transcrições da Rede Aurora. A resposta abaixo utiliza conhecimento externo.
"A Noite Estrelada" foi pintada por Vincent van Gogh. Este famoso quadro foi criado em 1889 durante o tempo em que Van Gogh estava em um asilo em Saint-Rémy-de-Provence, na França.</t>
  </si>
  <si>
    <t>resp_00fa95b42cd5d03c006a755aba9b988192b9fb64e567ef2b04</t>
  </si>
  <si>
    <t>Não encontrei essa resposta nas transcrições da Rede Aurora. A resposta abaixo utiliza conhecimento externo.
A obra "Guernica", de Pablo Picasso, é uma poderosa pintura em preto e branco que representa a dor e o caos causados pelo bombardeio da cidade basca de Guernica durante a Guerra Civil Espanhola, em 1937. A pintura é um manifesto contra a guerra e suas atrocidades, ilustrando o sofrimento humano, a destruição e os horrores do conflito. Elementos como o touro, o cavalo e as expressões de dor das figuras humanas transmitem uma mensagem universal de protesto contra a violência e a opressão. "Guernica" é um dos trabalhos mais emblemáticos de Picasso e um dos maiores símbolos da arte de resistência.</t>
  </si>
  <si>
    <t>resp_0e98838346fa4535006a755acce828819c85c7e36f50e13164</t>
  </si>
  <si>
    <t>Não encontrei essa resposta nas transcrições da Rede Aurora. A resposta abaixo utiliza conhecimento externo.
Ada Lovelace foi uma matemática e escritora inglesa, conhecida por seu trabalho pioneiro com Charles Babbage na máquina analítica, um primitivo modelo de computador. Ela é frequentemente celebrada como a primeira programadora de computadores por ter escrito o primeiro algoritmo destinado a ser processado por uma máquina. Ada era filha do poeta Lord Byron e sua visão sobre o potencial dos computadores ia além de cálculos simples, vislumbrando usos que só se tornariam realidade muitos anos depois.</t>
  </si>
  <si>
    <t>resp_03b171d1ba8c97ae006a755ae1952481a2955a6104d24f4c8f</t>
  </si>
  <si>
    <t>Não encontrei essa resposta nas transcrições da Rede Aurora. A resposta abaixo utiliza conhecimento externo.
Alan Turing é amplamente reconhecido como um dos pais da ciência da computação. Suas contribuições incluem:
1. **Máquina de Turing**: Turing desenvolveu o conceito de uma máquina abstrata que podia simular qualquer algoritmo computacional, agora conhecida como "Máquina de Turing". Esse modelo se tornou a base para a teoria da computação.
2. **Teste de Turing**: Propôs o Teste de Turing como uma forma de avaliar a inteligência de uma máquina, determinando se ela pode imitar o comportamento humano de forma indistinguível.
3. **Quebra de Códigos**: Durante a Segunda Guerra Mundial, Turing trabalhou no projeto Ultra, ajudando a quebrar o código Enigma dos nazistas, o que foi vital para o esforço de guerra dos Aliados.
4. **Computadores Modernos**: Ele foi pioneiro na ideia de que uma máquina poderia ser não apenas programável para executar um único conjunto de funções, mas que poderia armazenar programas e se tornar uma máquina universal.
Essas contribuições estabeleceram as fundações para o desenvolvimento da computação moderna.</t>
  </si>
  <si>
    <t>resp_0b8d260522fcd46a006a755afc6458819cb8456d166ee94ef5</t>
  </si>
  <si>
    <t>Não encontrei essa resposta nas transcrições da Rede Aurora. A resposta abaixo utiliza conhecimento externo.
O kernel Linux foi criado por Linus Torvalds, um engenheiro de software finlandês, em 1991. Ele começou como um projeto pessoal enquanto estudava na Universidade de Helsinki.</t>
  </si>
  <si>
    <t>resp_00c8a0c5b100715b006a755b15b6a48192af31658f86ae36bd</t>
  </si>
  <si>
    <t>Não encontrei essa resposta nas transcrições da Rede Aurora. A resposta abaixo utiliza conhecimento externo.
A linguagem Python foi criada por Guido van Rossum no final dos anos 1980 e lançada em 1991. Guido permaneceu como o principal desenvolvedor do Python até sua aposentadoria do papel em 2018.</t>
  </si>
  <si>
    <t>resp_0ac0c2a39c790866006a755b2972d4819cb177d59e5975117a</t>
  </si>
  <si>
    <t>Não encontrei essa resposta nas transcrições da Rede Aurora. A resposta abaixo utiliza conhecimento externo.
A World Wide Web foi inventada por Tim Berners-Lee em 1989. Ele trabalhava no CERN quando desenvolveu o conceito de um sistema de gerenciamento de informações que se tornaria a Web.</t>
  </si>
  <si>
    <t>resp_00c3371947a85436006a755b3a0f108191b64b88919da1e2f1</t>
  </si>
  <si>
    <t>Não encontrei essa resposta nas transcrições da Rede Aurora. A resposta abaixo utiliza conhecimento externo.
Satoshi Nakamoto é o pseudônimo usado pela pessoa ou grupo de pessoas que criou o Bitcoin, a primeira criptomoeda descentralizada. Apesar de várias tentativas de descobrirem a identidade real de Satoshi Nakamoto, até hoje ela permanece desconhecida.</t>
  </si>
  <si>
    <t>resp_0406e1abfb0880c5006a755b4db15c819fa1718f756664a977</t>
  </si>
  <si>
    <t>Não encontrei essa resposta nas transcrições da Rede Aurora. A resposta abaixo utiliza conhecimento externo.
O Grande Prêmio de Mônaco de Fórmula 1 é disputado no Circuito de Mônaco, que é um circuito urbano localizado nas ruas do Principado de Mônaco, incluindo trechos famosos como o túnel e a curva da piscina.</t>
  </si>
  <si>
    <t>resp_0064fbe50e729392006a755b6f48c881a3ac9a7966ef92991d</t>
  </si>
  <si>
    <t>Não encontrei essa resposta nas transcrições da Rede Aurora. A resposta abaixo utiliza conhecimento externo.
O mangá Naruto foi criado por Masashi Kishimoto.</t>
  </si>
  <si>
    <t>resp_003413ce20d90175006a755b7f5ba881a1aace5dba485b2a8b</t>
  </si>
  <si>
    <t>Não encontrei essa resposta nas transcrições da Rede Aurora. A resposta abaixo utiliza conhecimento externo.
O livro "O Senhor dos Anéis" foi escrito por J.R.R. Tolkien.</t>
  </si>
  <si>
    <t>resp_0786ad62f39f3d73006a755b9013a4819d9156f3e0d8b925eb</t>
  </si>
  <si>
    <t>Não encontrei essa resposta nas transcrições da Rede Aurora. A resposta abaixo utiliza conhecimento externo.
O primeiro filme de Star Wars, intitulado "Star Wars: Episode IV - A New Hope", foi dirigido por George Lucas.</t>
  </si>
  <si>
    <t>resp_09f13052952f191a006a755ba079c481928ca7f685dae250f3</t>
  </si>
  <si>
    <t>Não encontrei essa resposta nas transcrições da Rede Aurora. A resposta abaixo utiliza conhecimento externo.
O Titanic afundou em 1912.</t>
  </si>
  <si>
    <t>resp_0df26f59d4d5166f006a755bb21d3081a1a56165d01fea10ce</t>
  </si>
  <si>
    <t>Não encontrei essa resposta nas transcrições da Rede Aurora. A resposta abaixo utiliza conhecimento externo.
O primeiro ser humano a pisar na Lua foi Neil Armstrong, durante a missão Apollo 11, em 20 de julho de 1969.</t>
  </si>
  <si>
    <t>resp_0a2cb07e66e2fbb3006a755bc1daa081a19eaf79bcef72917c</t>
  </si>
  <si>
    <t>Não encontrei essa resposta nas transcrições da Rede Aurora. A resposta abaixo utiliza conhecimento externo.
A missão da sonda Voyager 1 é explorar os limites do sistema solar e além. Ela foi lançada pela NASA em 1977 com objetivos principais de estudar os planetas Júpiter e Saturno, suas luas e anéis, além de enviar informações sobre o espaço interestelar à medida que se afasta do nosso sistema solar. A Voyager 1 continua a enviar dados científicos de regiões nunca antes exploradas.</t>
  </si>
  <si>
    <t>resp_059a7557abd0935c006a755bd51cfc819eb44ae52d1b16f3d7</t>
  </si>
  <si>
    <t>Não encontrei essa resposta nas transcrições da Rede Aurora. A resposta abaixo utiliza conhecimento externo.
A moeda usada na Suíça é o Franco Suíço (CHF).</t>
  </si>
  <si>
    <t>resp_0bdda6a530201bf7006a755be5da7c81a0885905ff2c1cc029</t>
  </si>
  <si>
    <t>Não encontrei essa resposta nas transcrições da Rede Aurora. A resposta abaixo utiliza conhecimento externo.
O maior mamífero do mundo é a baleia-azul (Balaenoptera musculus), que pode atingir cerca de 30 metros de comprimento e pesar até 200 toneladas.</t>
  </si>
  <si>
    <t>resp_0f2a1783f90737fd006a755bfb620c81a19fcf579552ce0b01</t>
  </si>
  <si>
    <t>Não encontrei essa resposta nas transcrições da Rede Aurora. A resposta abaixo utiliza conhecimento externo.
O animal terrestre mais veloz é o guepardo (Acinonyx jubatus), que pode correr a velocidades de até 112 km/h em curtas distâncias.</t>
  </si>
  <si>
    <t>resp_0f3ea637b8106ac1006a755c0e4b8c819db0deb33a44dd7337</t>
  </si>
  <si>
    <t>Não encontrei essa resposta nas transcrições da Rede Aurora. A resposta abaixo utiliza conhecimento externo.
Os polvos têm três corações. Dois deles bombeiam sangue para as brânquias, enquanto o terceiro bombeia sangue para o resto do corpo.</t>
  </si>
  <si>
    <t>resp_03b5ccb53acd4f25006a755c1de0b48191bf63c749eed586c4</t>
  </si>
  <si>
    <t>Não encontrei essa resposta nas transcrições da Rede Aurora. A resposta abaixo utiliza conhecimento externo.
Sim, o ornitorrinco põe ovos. É um dos poucos mamíferos que tem essa característica, junto com os equidnas. Esses animais pertencem a um grupo de mamíferos chamados monotremados.</t>
  </si>
  <si>
    <t>resp_0327ddf7f5e6b322006a755c2f2e5c819e962ebab6d4a076bb</t>
  </si>
  <si>
    <t>052_Grãos orgânicos em escala viabilidade, desafios e oportunidades.json</t>
  </si>
  <si>
    <t>Corretamente informou que a resposta não foi encontrada nas transcrições e utilizou conhecimento externo. O File Search retornou 2 candidatos de baixa relevância (melhor score 0,3892), mas o modelo não os tratou como evidência válida; comportamento adequado.</t>
  </si>
  <si>
    <t>Não encontrei essa resposta nas transcrições da Rede Aurora. A resposta abaixo utiliza conhecimento externo.
Cleópatra VII foi a última governante ativa do Reino Ptolemaico do Egito. Rainha famosa por sua inteligência, encanto e alianças políticas, ela é conhecida por seus relacionamentos com Júlio César e Marco Antônio, figuras proeminentes da Roma antiga. Cleópatra tentou manter a independência do Egito em face da expansão romana, mas após sua derrota ao lado de Marco Antônio na Batalha de Ácio, o Egito tornou-se uma província romana. Ela morreu em 30 a.C., supostamente por suicídio. Cleópatra é uma figura histórica icônica, frequentemente retratada na arte e na literatura.</t>
  </si>
  <si>
    <t>resp_00800379071b663b006a755c44696481a2a34f069ec3fe804a</t>
  </si>
  <si>
    <t>Não encontrei essa resposta nas transcrições da Rede Aurora. A resposta abaixo utiliza conhecimento externo.
A Guerra dos Cem Anos foi uma série de conflitos intermitentes travados entre os reinos da Inglaterra e da França de 1337 a 1453. Essa guerra prolongada teve causas complexas, incluindo reivindicações territoriais e disputa pela sucessão ao trono francês. A guerra teve um impacto significativo na formação das identidades nacionais e levou à evolução de novas formas de guerra e à centralização do poder real na França.</t>
  </si>
  <si>
    <t>resp_0beab8a71b4eefe6006a755c589000819f83270b38dddc0075</t>
  </si>
  <si>
    <t>Não encontrei essa resposta nas transcrições da Rede Aurora. A resposta abaixo utiliza conhecimento externo.
Gengis Khan foi o fundador e primeiro Grande Khan do Império Mongol, que após sua morte se tornou o maior império contíguo da história. Nascido com o nome de Temujin por volta de 1162, ele uniu as tribos mongóis em uma única nação e lançou uma série de campanhas militares que resultaram em vastas conquistas. Gengis Khan é conhecido tanto por sua habilidade militar quanto por suas políticas inovadoras, que incluíam a promoção do mérito e a tolerância religiosa no seu império. Ele faleceu em 1227, mas seu legado perdurou através de seus descendentes e o vasto território que conquistou.</t>
  </si>
  <si>
    <t>resp_07296994438b3b24006a755c70a4b881a3ae39a96f523bce83</t>
  </si>
  <si>
    <t>Não encontrei essa resposta nas transcrições da Rede Aurora. A resposta abaixo utiliza conhecimento externo.
A Rota da Seda foi uma rede de antigas rotas comerciais que conectavam o Oriente e o Ocidente. Ela recebeu esse nome devido ao comércio de seda, que era uma das mercadorias mais valiosas transportadas por essas rotas. Além de impulsionar a troca de bens como especiarias, pedras preciosas e tecidos, a Rota da Seda também facilitou a disseminação de culturas, religiões, tecnologia e ideias entre as civilizações que a atravessavam. Essa rede teve grande importância histórica no desenvolvimento econômico e cultural dos povos conectados por ela.</t>
  </si>
  <si>
    <t>resp_05065cc52a2a88d4006a755c8551a0819da51157b26b42db9d</t>
  </si>
  <si>
    <t>Não encontrei essa resposta nas transcrições da Rede Aurora. A resposta abaixo utiliza conhecimento externo.
A Divina Comédia foi escrita por Dante Alighieri.</t>
  </si>
  <si>
    <t>resp_02010b56696f7cf1006a755c96615081918db1f98a0ce7c21d</t>
  </si>
  <si>
    <t>Não encontrei essa resposta nas transcrições da Rede Aurora. A resposta abaixo utiliza conhecimento externo.
O personagem Sherlock Holmes foi criado pelo escritor britânico Arthur Conan Doyle.</t>
  </si>
  <si>
    <t>resp_0f7e8eb079ef90ca006a755ca9b9b8819ca69897ee71ae9abc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</si>
</sst>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6">
    <font>
      <sz val="11.0"/>
      <color rgb="FF000000"/>
      <name val="Carlito"/>
      <scheme val="minor"/>
    </font>
    <font>
      <b/>
      <sz val="11.0"/>
      <color rgb="FFFFFFFF"/>
      <name val="Carlito"/>
    </font>
    <font>
      <color theme="1"/>
      <name val="Carlito"/>
      <scheme val="minor"/>
    </font>
    <font>
      <sz val="11.0"/>
      <color theme="1"/>
      <name val="Carlito"/>
    </font>
    <font>
      <b/>
      <sz val="16.0"/>
      <color rgb="FFFFFFFF"/>
      <name val="Carlito"/>
    </font>
    <font>
      <b/>
      <color theme="1"/>
      <name val="Carlito"/>
      <scheme val="minor"/>
    </font>
  </fonts>
  <fills count="3">
    <fill>
      <patternFill patternType="none"/>
    </fill>
    <fill>
      <patternFill patternType="lightGray"/>
    </fill>
    <fill>
      <patternFill patternType="solid">
        <fgColor rgb="FF1F4E78"/>
        <bgColor rgb="FF1F4E78"/>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2" numFmtId="0" xfId="0" applyAlignment="1" applyFont="1">
      <alignment readingOrder="0"/>
    </xf>
    <xf borderId="0" fillId="0" fontId="3" numFmtId="0" xfId="0" applyAlignment="1" applyFont="1">
      <alignment shrinkToFit="0" wrapText="1"/>
    </xf>
    <xf borderId="0" fillId="0" fontId="2" numFmtId="0" xfId="0" applyAlignment="1" applyFont="1">
      <alignment readingOrder="0"/>
    </xf>
    <xf borderId="0" fillId="0" fontId="2" numFmtId="164" xfId="0" applyAlignment="1" applyFont="1" applyNumberFormat="1">
      <alignment readingOrder="0"/>
    </xf>
    <xf borderId="0" fillId="2" fontId="4" numFmtId="0" xfId="0" applyAlignment="1" applyFont="1">
      <alignment horizontal="center" vertical="center"/>
    </xf>
    <xf borderId="0" fillId="0" fontId="2" numFmtId="0" xfId="0" applyFont="1"/>
    <xf borderId="0" fillId="0" fontId="5" numFmtId="0" xfId="0" applyAlignment="1" applyFont="1">
      <alignment readingOrder="0"/>
    </xf>
    <xf borderId="0" fillId="0" fontId="2" numFmtId="10" xfId="0" applyFont="1" applyNumberFormat="1"/>
    <xf borderId="0" fillId="0" fontId="2" numFmtId="1" xfId="0" applyFont="1" applyNumberFormat="1"/>
    <xf borderId="0" fillId="0" fontId="2" numFmtId="10" xfId="0" applyAlignment="1" applyFont="1" applyNumberFormat="1">
      <alignment readingOrder="0"/>
    </xf>
  </cellXfs>
  <cellStyles count="1">
    <cellStyle xfId="0" name="Normal" builtinId="0"/>
  </cellStyles>
  <dxfs count="2">
    <dxf>
      <font/>
      <fill>
        <patternFill patternType="solid">
          <fgColor rgb="FFD9EAD3"/>
          <bgColor rgb="FFD9EAD3"/>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Classificação das respostas</a:t>
            </a:r>
          </a:p>
        </c:rich>
      </c:tx>
      <c:overlay val="0"/>
    </c:title>
    <c:plotArea>
      <c:layout/>
      <c:barChart>
        <c:barDir val="col"/>
        <c:ser>
          <c:idx val="0"/>
          <c:order val="0"/>
          <c:tx>
            <c:v>Quantidade</c:v>
          </c:tx>
          <c:spPr>
            <a:solidFill>
              <a:schemeClr val="accent1"/>
            </a:solidFill>
            <a:ln cmpd="sng">
              <a:noFill/>
            </a:ln>
          </c:spPr>
          <c:cat>
            <c:strRef>
              <c:f>Resumo!$D$4:$D$8</c:f>
            </c:strRef>
          </c:cat>
          <c:val>
            <c:numRef>
              <c:f>Resumo!$E$4:$E$8</c:f>
              <c:numCache/>
            </c:numRef>
          </c:val>
        </c:ser>
        <c:axId val="565545746"/>
        <c:axId val="119672759"/>
      </c:barChart>
      <c:catAx>
        <c:axId val="5655457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19672759"/>
      </c:catAx>
      <c:valAx>
        <c:axId val="11967275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565545746"/>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Métricas de recuperação do File Search</a:t>
            </a:r>
          </a:p>
        </c:rich>
      </c:tx>
      <c:overlay val="0"/>
    </c:title>
    <c:plotArea>
      <c:layout/>
      <c:barChart>
        <c:barDir val="col"/>
        <c:ser>
          <c:idx val="0"/>
          <c:order val="0"/>
          <c:spPr>
            <a:solidFill>
              <a:schemeClr val="accent1"/>
            </a:solidFill>
            <a:ln cmpd="sng">
              <a:noFill/>
            </a:ln>
          </c:spPr>
          <c:cat>
            <c:strRef>
              <c:f>Resumo!$A$20:$A$25</c:f>
            </c:strRef>
          </c:cat>
          <c:val>
            <c:numRef>
              <c:f>Resumo!$B$20:$B$25</c:f>
              <c:numCache/>
            </c:numRef>
          </c:val>
        </c:ser>
        <c:axId val="1423803338"/>
        <c:axId val="282749721"/>
      </c:barChart>
      <c:catAx>
        <c:axId val="14238033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Métrica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2749721"/>
      </c:catAx>
      <c:valAx>
        <c:axId val="2827497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23803338"/>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xdr:row>
      <xdr:rowOff>0</xdr:rowOff>
    </xdr:from>
    <xdr:ext cx="5257800" cy="32004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0</xdr:colOff>
      <xdr:row>19</xdr:row>
      <xdr:rowOff>0</xdr:rowOff>
    </xdr:from>
    <xdr:ext cx="5905500" cy="3048000"/>
    <xdr:graphicFrame>
      <xdr:nvGraphicFramePr>
        <xdr:cNvPr id="2" name="Chart 2" title="Métricas de recuperação do File Search"/>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11.0"/>
    <col customWidth="1" min="3" max="3" width="14.0"/>
    <col customWidth="1" min="4" max="4" width="58.0"/>
    <col customWidth="1" min="5" max="5" width="46.0"/>
    <col customWidth="1" min="6" max="6" width="12.0"/>
    <col customWidth="1" min="7" max="26" width="8.63"/>
  </cols>
  <sheetData>
    <row r="1">
      <c r="A1" s="1" t="s">
        <v>0</v>
      </c>
      <c r="B1" s="1" t="s">
        <v>2</v>
      </c>
      <c r="C1" s="1" t="s">
        <v>3</v>
      </c>
      <c r="D1" s="1" t="s">
        <v>4</v>
      </c>
      <c r="E1" s="1" t="s">
        <v>5</v>
      </c>
      <c r="F1" s="1" t="s">
        <v>6</v>
      </c>
    </row>
    <row r="2">
      <c r="A2" s="3">
        <v>1.0</v>
      </c>
      <c r="B2" s="3" t="s">
        <v>8</v>
      </c>
      <c r="C2" s="3" t="s">
        <v>10</v>
      </c>
      <c r="D2" s="3" t="s">
        <v>12</v>
      </c>
      <c r="E2" s="3" t="s">
        <v>14</v>
      </c>
      <c r="F2" s="3" t="s">
        <v>19</v>
      </c>
    </row>
    <row r="3">
      <c r="A3" s="3">
        <v>2.0</v>
      </c>
      <c r="B3" s="3" t="s">
        <v>22</v>
      </c>
      <c r="C3" s="3" t="s">
        <v>10</v>
      </c>
      <c r="D3" s="3" t="s">
        <v>26</v>
      </c>
      <c r="E3" s="3" t="s">
        <v>27</v>
      </c>
      <c r="F3" s="3" t="s">
        <v>19</v>
      </c>
    </row>
    <row r="4">
      <c r="A4" s="3">
        <v>3.0</v>
      </c>
      <c r="B4" s="3" t="s">
        <v>29</v>
      </c>
      <c r="C4" s="3" t="s">
        <v>10</v>
      </c>
      <c r="D4" s="3" t="s">
        <v>30</v>
      </c>
      <c r="E4" s="3" t="s">
        <v>31</v>
      </c>
      <c r="F4" s="3" t="s">
        <v>19</v>
      </c>
    </row>
    <row r="5">
      <c r="A5" s="3">
        <v>4.0</v>
      </c>
      <c r="B5" s="3" t="s">
        <v>35</v>
      </c>
      <c r="C5" s="3" t="s">
        <v>10</v>
      </c>
      <c r="D5" s="3" t="s">
        <v>38</v>
      </c>
      <c r="E5" s="3" t="s">
        <v>40</v>
      </c>
      <c r="F5" s="3" t="s">
        <v>19</v>
      </c>
    </row>
    <row r="6">
      <c r="A6" s="3">
        <v>5.0</v>
      </c>
      <c r="B6" s="3" t="s">
        <v>41</v>
      </c>
      <c r="C6" s="3" t="s">
        <v>10</v>
      </c>
      <c r="D6" s="3" t="s">
        <v>42</v>
      </c>
      <c r="E6" s="3" t="s">
        <v>44</v>
      </c>
      <c r="F6" s="3" t="s">
        <v>19</v>
      </c>
    </row>
    <row r="7">
      <c r="A7" s="3">
        <v>6.0</v>
      </c>
      <c r="B7" s="3" t="s">
        <v>46</v>
      </c>
      <c r="C7" s="3" t="s">
        <v>10</v>
      </c>
      <c r="D7" s="3" t="s">
        <v>48</v>
      </c>
      <c r="E7" s="3" t="s">
        <v>50</v>
      </c>
      <c r="F7" s="3" t="s">
        <v>19</v>
      </c>
    </row>
    <row r="8">
      <c r="A8" s="3">
        <v>7.0</v>
      </c>
      <c r="B8" s="3" t="s">
        <v>51</v>
      </c>
      <c r="C8" s="3" t="s">
        <v>10</v>
      </c>
      <c r="D8" s="3" t="s">
        <v>53</v>
      </c>
      <c r="E8" s="3" t="s">
        <v>55</v>
      </c>
      <c r="F8" s="3" t="s">
        <v>19</v>
      </c>
    </row>
    <row r="9">
      <c r="A9" s="3">
        <v>8.0</v>
      </c>
      <c r="B9" s="3" t="s">
        <v>57</v>
      </c>
      <c r="C9" s="3" t="s">
        <v>10</v>
      </c>
      <c r="D9" s="3" t="s">
        <v>58</v>
      </c>
      <c r="E9" s="3" t="s">
        <v>59</v>
      </c>
      <c r="F9" s="3" t="s">
        <v>19</v>
      </c>
    </row>
    <row r="10">
      <c r="A10" s="3">
        <v>9.0</v>
      </c>
      <c r="B10" s="3" t="s">
        <v>60</v>
      </c>
      <c r="C10" s="3" t="s">
        <v>10</v>
      </c>
      <c r="D10" s="3" t="s">
        <v>62</v>
      </c>
      <c r="E10" s="3" t="s">
        <v>64</v>
      </c>
      <c r="F10" s="3" t="s">
        <v>19</v>
      </c>
    </row>
    <row r="11">
      <c r="A11" s="3">
        <v>10.0</v>
      </c>
      <c r="B11" s="3" t="s">
        <v>66</v>
      </c>
      <c r="C11" s="3" t="s">
        <v>10</v>
      </c>
      <c r="D11" s="3" t="s">
        <v>68</v>
      </c>
      <c r="E11" s="3" t="s">
        <v>69</v>
      </c>
      <c r="F11" s="3" t="s">
        <v>19</v>
      </c>
    </row>
    <row r="12">
      <c r="A12" s="3">
        <v>11.0</v>
      </c>
      <c r="B12" s="3" t="s">
        <v>70</v>
      </c>
      <c r="C12" s="3" t="s">
        <v>10</v>
      </c>
      <c r="D12" s="3" t="s">
        <v>72</v>
      </c>
      <c r="E12" s="3" t="s">
        <v>74</v>
      </c>
      <c r="F12" s="3" t="s">
        <v>19</v>
      </c>
    </row>
    <row r="13">
      <c r="A13" s="3">
        <v>12.0</v>
      </c>
      <c r="B13" s="3" t="s">
        <v>75</v>
      </c>
      <c r="C13" s="3" t="s">
        <v>10</v>
      </c>
      <c r="D13" s="3" t="s">
        <v>77</v>
      </c>
      <c r="E13" s="3" t="s">
        <v>78</v>
      </c>
      <c r="F13" s="3" t="s">
        <v>19</v>
      </c>
    </row>
    <row r="14">
      <c r="A14" s="3">
        <v>13.0</v>
      </c>
      <c r="B14" s="3" t="s">
        <v>79</v>
      </c>
      <c r="C14" s="3" t="s">
        <v>10</v>
      </c>
      <c r="D14" s="3" t="s">
        <v>81</v>
      </c>
      <c r="E14" s="3" t="s">
        <v>83</v>
      </c>
      <c r="F14" s="3" t="s">
        <v>19</v>
      </c>
    </row>
    <row r="15">
      <c r="A15" s="3">
        <v>14.0</v>
      </c>
      <c r="B15" s="3" t="s">
        <v>84</v>
      </c>
      <c r="C15" s="3" t="s">
        <v>10</v>
      </c>
      <c r="D15" s="3" t="s">
        <v>86</v>
      </c>
      <c r="E15" s="3" t="s">
        <v>87</v>
      </c>
      <c r="F15" s="3" t="s">
        <v>19</v>
      </c>
    </row>
    <row r="16">
      <c r="A16" s="3">
        <v>15.0</v>
      </c>
      <c r="B16" s="3" t="s">
        <v>88</v>
      </c>
      <c r="C16" s="3" t="s">
        <v>10</v>
      </c>
      <c r="D16" s="3" t="s">
        <v>91</v>
      </c>
      <c r="E16" s="3" t="s">
        <v>92</v>
      </c>
      <c r="F16" s="3" t="s">
        <v>19</v>
      </c>
    </row>
    <row r="17">
      <c r="A17" s="3">
        <v>16.0</v>
      </c>
      <c r="B17" s="3" t="s">
        <v>94</v>
      </c>
      <c r="C17" s="3" t="s">
        <v>10</v>
      </c>
      <c r="D17" s="3" t="s">
        <v>95</v>
      </c>
      <c r="E17" s="3" t="s">
        <v>96</v>
      </c>
      <c r="F17" s="3" t="s">
        <v>19</v>
      </c>
    </row>
    <row r="18">
      <c r="A18" s="3">
        <v>17.0</v>
      </c>
      <c r="B18" s="3" t="s">
        <v>97</v>
      </c>
      <c r="C18" s="3" t="s">
        <v>10</v>
      </c>
      <c r="D18" s="3" t="s">
        <v>99</v>
      </c>
      <c r="E18" s="3" t="s">
        <v>101</v>
      </c>
      <c r="F18" s="3" t="s">
        <v>19</v>
      </c>
    </row>
    <row r="19">
      <c r="A19" s="3">
        <v>18.0</v>
      </c>
      <c r="B19" s="3" t="s">
        <v>102</v>
      </c>
      <c r="C19" s="3" t="s">
        <v>10</v>
      </c>
      <c r="D19" s="3" t="s">
        <v>104</v>
      </c>
      <c r="E19" s="3" t="s">
        <v>105</v>
      </c>
      <c r="F19" s="3" t="s">
        <v>19</v>
      </c>
    </row>
    <row r="20">
      <c r="A20" s="3">
        <v>19.0</v>
      </c>
      <c r="B20" s="3" t="s">
        <v>106</v>
      </c>
      <c r="C20" s="3" t="s">
        <v>10</v>
      </c>
      <c r="D20" s="3" t="s">
        <v>109</v>
      </c>
      <c r="E20" s="3" t="s">
        <v>110</v>
      </c>
      <c r="F20" s="3" t="s">
        <v>19</v>
      </c>
    </row>
    <row r="21" ht="15.75" customHeight="1">
      <c r="A21" s="3">
        <v>20.0</v>
      </c>
      <c r="B21" s="3" t="s">
        <v>112</v>
      </c>
      <c r="C21" s="3" t="s">
        <v>10</v>
      </c>
      <c r="D21" s="3" t="s">
        <v>113</v>
      </c>
      <c r="E21" s="3" t="s">
        <v>114</v>
      </c>
      <c r="F21" s="3" t="s">
        <v>19</v>
      </c>
    </row>
    <row r="22" ht="15.75" customHeight="1">
      <c r="A22" s="3">
        <v>21.0</v>
      </c>
      <c r="B22" s="3" t="s">
        <v>117</v>
      </c>
      <c r="C22" s="3" t="s">
        <v>10</v>
      </c>
      <c r="D22" s="3" t="s">
        <v>118</v>
      </c>
      <c r="E22" s="3" t="s">
        <v>119</v>
      </c>
      <c r="F22" s="3" t="s">
        <v>19</v>
      </c>
    </row>
    <row r="23" ht="15.75" customHeight="1">
      <c r="A23" s="3">
        <v>22.0</v>
      </c>
      <c r="B23" s="3" t="s">
        <v>121</v>
      </c>
      <c r="C23" s="3" t="s">
        <v>10</v>
      </c>
      <c r="D23" s="3" t="s">
        <v>122</v>
      </c>
      <c r="E23" s="3" t="s">
        <v>123</v>
      </c>
      <c r="F23" s="3" t="s">
        <v>19</v>
      </c>
    </row>
    <row r="24" ht="15.75" customHeight="1">
      <c r="A24" s="3">
        <v>23.0</v>
      </c>
      <c r="B24" s="3" t="s">
        <v>126</v>
      </c>
      <c r="C24" s="3" t="s">
        <v>10</v>
      </c>
      <c r="D24" s="3" t="s">
        <v>127</v>
      </c>
      <c r="E24" s="3" t="s">
        <v>128</v>
      </c>
      <c r="F24" s="3" t="s">
        <v>19</v>
      </c>
    </row>
    <row r="25" ht="15.75" customHeight="1">
      <c r="A25" s="3">
        <v>24.0</v>
      </c>
      <c r="B25" s="3" t="s">
        <v>131</v>
      </c>
      <c r="C25" s="3" t="s">
        <v>10</v>
      </c>
      <c r="D25" s="3" t="s">
        <v>132</v>
      </c>
      <c r="E25" s="3" t="s">
        <v>133</v>
      </c>
      <c r="F25" s="3" t="s">
        <v>19</v>
      </c>
    </row>
    <row r="26" ht="15.75" customHeight="1">
      <c r="A26" s="3">
        <v>25.0</v>
      </c>
      <c r="B26" s="3" t="s">
        <v>136</v>
      </c>
      <c r="C26" s="3" t="s">
        <v>10</v>
      </c>
      <c r="D26" s="3" t="s">
        <v>137</v>
      </c>
      <c r="E26" s="3" t="s">
        <v>138</v>
      </c>
      <c r="F26" s="3" t="s">
        <v>19</v>
      </c>
    </row>
    <row r="27" ht="15.75" customHeight="1">
      <c r="A27" s="3">
        <v>26.0</v>
      </c>
      <c r="B27" s="3" t="s">
        <v>140</v>
      </c>
      <c r="C27" s="3" t="s">
        <v>10</v>
      </c>
      <c r="D27" s="3" t="s">
        <v>141</v>
      </c>
      <c r="E27" s="3" t="s">
        <v>142</v>
      </c>
      <c r="F27" s="3" t="s">
        <v>19</v>
      </c>
    </row>
    <row r="28" ht="15.75" customHeight="1">
      <c r="A28" s="3">
        <v>27.0</v>
      </c>
      <c r="B28" s="3" t="s">
        <v>144</v>
      </c>
      <c r="C28" s="3" t="s">
        <v>10</v>
      </c>
      <c r="D28" s="3" t="s">
        <v>146</v>
      </c>
      <c r="E28" s="3" t="s">
        <v>147</v>
      </c>
      <c r="F28" s="3" t="s">
        <v>19</v>
      </c>
    </row>
    <row r="29" ht="15.75" customHeight="1">
      <c r="A29" s="3">
        <v>28.0</v>
      </c>
      <c r="B29" s="3" t="s">
        <v>149</v>
      </c>
      <c r="C29" s="3" t="s">
        <v>10</v>
      </c>
      <c r="D29" s="3" t="s">
        <v>151</v>
      </c>
      <c r="E29" s="3" t="s">
        <v>152</v>
      </c>
      <c r="F29" s="3" t="s">
        <v>19</v>
      </c>
    </row>
    <row r="30" ht="15.75" customHeight="1">
      <c r="A30" s="3">
        <v>29.0</v>
      </c>
      <c r="B30" s="3" t="s">
        <v>153</v>
      </c>
      <c r="C30" s="3" t="s">
        <v>10</v>
      </c>
      <c r="D30" s="3" t="s">
        <v>154</v>
      </c>
      <c r="E30" s="3" t="s">
        <v>155</v>
      </c>
      <c r="F30" s="3" t="s">
        <v>19</v>
      </c>
    </row>
    <row r="31" ht="15.75" customHeight="1">
      <c r="A31" s="3">
        <v>30.0</v>
      </c>
      <c r="B31" s="3" t="s">
        <v>158</v>
      </c>
      <c r="C31" s="3" t="s">
        <v>10</v>
      </c>
      <c r="D31" s="3" t="s">
        <v>159</v>
      </c>
      <c r="E31" s="3" t="s">
        <v>160</v>
      </c>
      <c r="F31" s="3" t="s">
        <v>19</v>
      </c>
    </row>
    <row r="32" ht="15.75" customHeight="1">
      <c r="A32" s="3">
        <v>31.0</v>
      </c>
      <c r="B32" s="3" t="s">
        <v>162</v>
      </c>
      <c r="C32" s="3" t="s">
        <v>10</v>
      </c>
      <c r="D32" s="3" t="s">
        <v>163</v>
      </c>
      <c r="E32" s="3" t="s">
        <v>164</v>
      </c>
      <c r="F32" s="3" t="s">
        <v>19</v>
      </c>
    </row>
    <row r="33" ht="15.75" customHeight="1">
      <c r="A33" s="3">
        <v>32.0</v>
      </c>
      <c r="B33" s="3" t="s">
        <v>165</v>
      </c>
      <c r="C33" s="3" t="s">
        <v>10</v>
      </c>
      <c r="D33" s="3" t="s">
        <v>167</v>
      </c>
      <c r="E33" s="3" t="s">
        <v>169</v>
      </c>
      <c r="F33" s="3" t="s">
        <v>19</v>
      </c>
    </row>
    <row r="34" ht="15.75" customHeight="1">
      <c r="A34" s="3">
        <v>33.0</v>
      </c>
      <c r="B34" s="3" t="s">
        <v>170</v>
      </c>
      <c r="C34" s="3" t="s">
        <v>10</v>
      </c>
      <c r="D34" s="3" t="s">
        <v>172</v>
      </c>
      <c r="E34" s="3" t="s">
        <v>173</v>
      </c>
      <c r="F34" s="3" t="s">
        <v>19</v>
      </c>
    </row>
    <row r="35" ht="15.75" customHeight="1">
      <c r="A35" s="3">
        <v>34.0</v>
      </c>
      <c r="B35" s="3" t="s">
        <v>174</v>
      </c>
      <c r="C35" s="3" t="s">
        <v>10</v>
      </c>
      <c r="D35" s="3" t="s">
        <v>175</v>
      </c>
      <c r="E35" s="3" t="s">
        <v>176</v>
      </c>
      <c r="F35" s="3" t="s">
        <v>19</v>
      </c>
    </row>
    <row r="36" ht="15.75" customHeight="1">
      <c r="A36" s="3">
        <v>35.0</v>
      </c>
      <c r="B36" s="3" t="s">
        <v>179</v>
      </c>
      <c r="C36" s="3" t="s">
        <v>10</v>
      </c>
      <c r="D36" s="3" t="s">
        <v>180</v>
      </c>
      <c r="E36" s="3" t="s">
        <v>181</v>
      </c>
      <c r="F36" s="3" t="s">
        <v>19</v>
      </c>
    </row>
    <row r="37" ht="15.75" customHeight="1">
      <c r="A37" s="3">
        <v>36.0</v>
      </c>
      <c r="B37" s="3" t="s">
        <v>183</v>
      </c>
      <c r="C37" s="3" t="s">
        <v>10</v>
      </c>
      <c r="D37" s="3" t="s">
        <v>184</v>
      </c>
      <c r="E37" s="3" t="s">
        <v>185</v>
      </c>
      <c r="F37" s="3" t="s">
        <v>19</v>
      </c>
    </row>
    <row r="38" ht="15.75" customHeight="1">
      <c r="A38" s="3">
        <v>37.0</v>
      </c>
      <c r="B38" s="3" t="s">
        <v>187</v>
      </c>
      <c r="C38" s="3" t="s">
        <v>10</v>
      </c>
      <c r="D38" s="3" t="s">
        <v>189</v>
      </c>
      <c r="E38" s="3" t="s">
        <v>191</v>
      </c>
      <c r="F38" s="3" t="s">
        <v>19</v>
      </c>
    </row>
    <row r="39" ht="15.75" customHeight="1">
      <c r="A39" s="3">
        <v>38.0</v>
      </c>
      <c r="B39" s="3" t="s">
        <v>192</v>
      </c>
      <c r="C39" s="3" t="s">
        <v>10</v>
      </c>
      <c r="D39" s="3" t="s">
        <v>194</v>
      </c>
      <c r="E39" s="3" t="s">
        <v>195</v>
      </c>
      <c r="F39" s="3" t="s">
        <v>19</v>
      </c>
    </row>
    <row r="40" ht="15.75" customHeight="1">
      <c r="A40" s="3">
        <v>39.0</v>
      </c>
      <c r="B40" s="3" t="s">
        <v>197</v>
      </c>
      <c r="C40" s="3" t="s">
        <v>10</v>
      </c>
      <c r="D40" s="3" t="s">
        <v>198</v>
      </c>
      <c r="E40" s="3" t="s">
        <v>200</v>
      </c>
      <c r="F40" s="3" t="s">
        <v>19</v>
      </c>
    </row>
    <row r="41" ht="15.75" customHeight="1">
      <c r="A41" s="3">
        <v>40.0</v>
      </c>
      <c r="B41" s="3" t="s">
        <v>205</v>
      </c>
      <c r="C41" s="3" t="s">
        <v>10</v>
      </c>
      <c r="D41" s="3" t="s">
        <v>207</v>
      </c>
      <c r="E41" s="3" t="s">
        <v>208</v>
      </c>
      <c r="F41" s="3" t="s">
        <v>19</v>
      </c>
    </row>
    <row r="42" ht="15.75" customHeight="1">
      <c r="A42" s="3">
        <v>41.0</v>
      </c>
      <c r="B42" s="3" t="s">
        <v>210</v>
      </c>
      <c r="C42" s="3" t="s">
        <v>10</v>
      </c>
      <c r="D42" s="3" t="s">
        <v>211</v>
      </c>
      <c r="E42" s="3" t="s">
        <v>212</v>
      </c>
      <c r="F42" s="3" t="s">
        <v>19</v>
      </c>
    </row>
    <row r="43" ht="15.75" customHeight="1">
      <c r="A43" s="3">
        <v>42.0</v>
      </c>
      <c r="B43" s="3" t="s">
        <v>213</v>
      </c>
      <c r="C43" s="3" t="s">
        <v>10</v>
      </c>
      <c r="D43" s="3" t="s">
        <v>214</v>
      </c>
      <c r="E43" s="3" t="s">
        <v>216</v>
      </c>
      <c r="F43" s="3" t="s">
        <v>19</v>
      </c>
    </row>
    <row r="44" ht="15.75" customHeight="1">
      <c r="A44" s="3">
        <v>43.0</v>
      </c>
      <c r="B44" s="3" t="s">
        <v>218</v>
      </c>
      <c r="C44" s="3" t="s">
        <v>10</v>
      </c>
      <c r="D44" s="3" t="s">
        <v>219</v>
      </c>
      <c r="E44" s="3" t="s">
        <v>221</v>
      </c>
      <c r="F44" s="3" t="s">
        <v>19</v>
      </c>
    </row>
    <row r="45" ht="15.75" customHeight="1">
      <c r="A45" s="3">
        <v>44.0</v>
      </c>
      <c r="B45" s="3" t="s">
        <v>223</v>
      </c>
      <c r="C45" s="3" t="s">
        <v>10</v>
      </c>
      <c r="D45" s="3" t="s">
        <v>224</v>
      </c>
      <c r="E45" s="3" t="s">
        <v>225</v>
      </c>
      <c r="F45" s="3" t="s">
        <v>19</v>
      </c>
    </row>
    <row r="46" ht="15.75" customHeight="1">
      <c r="A46" s="3">
        <v>45.0</v>
      </c>
      <c r="B46" s="3" t="s">
        <v>226</v>
      </c>
      <c r="C46" s="3" t="s">
        <v>10</v>
      </c>
      <c r="D46" s="3" t="s">
        <v>227</v>
      </c>
      <c r="E46" s="3" t="s">
        <v>229</v>
      </c>
      <c r="F46" s="3" t="s">
        <v>19</v>
      </c>
    </row>
    <row r="47" ht="15.75" customHeight="1">
      <c r="A47" s="3">
        <v>46.0</v>
      </c>
      <c r="B47" s="3" t="s">
        <v>231</v>
      </c>
      <c r="C47" s="3" t="s">
        <v>10</v>
      </c>
      <c r="D47" s="3" t="s">
        <v>232</v>
      </c>
      <c r="E47" s="3" t="s">
        <v>233</v>
      </c>
      <c r="F47" s="3" t="s">
        <v>19</v>
      </c>
    </row>
    <row r="48" ht="15.75" customHeight="1">
      <c r="A48" s="3">
        <v>47.0</v>
      </c>
      <c r="B48" s="3" t="s">
        <v>236</v>
      </c>
      <c r="C48" s="3" t="s">
        <v>10</v>
      </c>
      <c r="D48" s="3" t="s">
        <v>237</v>
      </c>
      <c r="E48" s="3" t="s">
        <v>238</v>
      </c>
      <c r="F48" s="3" t="s">
        <v>19</v>
      </c>
    </row>
    <row r="49" ht="15.75" customHeight="1">
      <c r="A49" s="3">
        <v>48.0</v>
      </c>
      <c r="B49" s="3" t="s">
        <v>239</v>
      </c>
      <c r="C49" s="3" t="s">
        <v>10</v>
      </c>
      <c r="D49" s="3" t="s">
        <v>241</v>
      </c>
      <c r="E49" s="3" t="s">
        <v>243</v>
      </c>
      <c r="F49" s="3" t="s">
        <v>19</v>
      </c>
    </row>
    <row r="50" ht="15.75" customHeight="1">
      <c r="A50" s="3">
        <v>49.0</v>
      </c>
      <c r="B50" s="3" t="s">
        <v>245</v>
      </c>
      <c r="C50" s="3" t="s">
        <v>10</v>
      </c>
      <c r="D50" s="3" t="s">
        <v>246</v>
      </c>
      <c r="E50" s="3" t="s">
        <v>248</v>
      </c>
      <c r="F50" s="3" t="s">
        <v>19</v>
      </c>
    </row>
    <row r="51" ht="15.75" customHeight="1">
      <c r="A51" s="3">
        <v>50.0</v>
      </c>
      <c r="B51" s="3" t="s">
        <v>249</v>
      </c>
      <c r="C51" s="3" t="s">
        <v>10</v>
      </c>
      <c r="D51" s="3" t="s">
        <v>250</v>
      </c>
      <c r="E51" s="3" t="s">
        <v>251</v>
      </c>
      <c r="F51" s="3" t="s">
        <v>19</v>
      </c>
    </row>
    <row r="52" ht="15.75" customHeight="1">
      <c r="A52" s="3">
        <v>51.0</v>
      </c>
      <c r="B52" s="3" t="s">
        <v>254</v>
      </c>
      <c r="C52" s="3" t="s">
        <v>256</v>
      </c>
      <c r="D52" s="3" t="s">
        <v>257</v>
      </c>
      <c r="E52" s="3" t="s">
        <v>258</v>
      </c>
      <c r="F52" s="3" t="s">
        <v>19</v>
      </c>
    </row>
    <row r="53" ht="15.75" customHeight="1">
      <c r="A53" s="3">
        <v>52.0</v>
      </c>
      <c r="B53" s="3" t="s">
        <v>259</v>
      </c>
      <c r="C53" s="3" t="s">
        <v>256</v>
      </c>
      <c r="D53" s="3" t="s">
        <v>260</v>
      </c>
      <c r="E53" s="3" t="s">
        <v>262</v>
      </c>
      <c r="F53" s="3" t="s">
        <v>19</v>
      </c>
    </row>
    <row r="54" ht="15.75" customHeight="1">
      <c r="A54" s="3">
        <v>53.0</v>
      </c>
      <c r="B54" s="3" t="s">
        <v>263</v>
      </c>
      <c r="C54" s="3" t="s">
        <v>256</v>
      </c>
      <c r="D54" s="3" t="s">
        <v>264</v>
      </c>
      <c r="E54" s="3" t="s">
        <v>265</v>
      </c>
      <c r="F54" s="3" t="s">
        <v>19</v>
      </c>
    </row>
    <row r="55" ht="15.75" customHeight="1">
      <c r="A55" s="3">
        <v>54.0</v>
      </c>
      <c r="B55" s="3" t="s">
        <v>266</v>
      </c>
      <c r="C55" s="3" t="s">
        <v>256</v>
      </c>
      <c r="D55" s="3" t="s">
        <v>267</v>
      </c>
      <c r="E55" s="3" t="s">
        <v>268</v>
      </c>
      <c r="F55" s="3" t="s">
        <v>19</v>
      </c>
    </row>
    <row r="56" ht="15.75" customHeight="1">
      <c r="A56" s="3">
        <v>55.0</v>
      </c>
      <c r="B56" s="3" t="s">
        <v>271</v>
      </c>
      <c r="C56" s="3" t="s">
        <v>256</v>
      </c>
      <c r="D56" s="3" t="s">
        <v>273</v>
      </c>
      <c r="E56" s="3" t="s">
        <v>274</v>
      </c>
      <c r="F56" s="3" t="s">
        <v>19</v>
      </c>
    </row>
    <row r="57" ht="15.75" customHeight="1">
      <c r="A57" s="3">
        <v>56.0</v>
      </c>
      <c r="B57" s="3" t="s">
        <v>276</v>
      </c>
      <c r="C57" s="3" t="s">
        <v>256</v>
      </c>
      <c r="D57" s="3" t="s">
        <v>277</v>
      </c>
      <c r="E57" s="3" t="s">
        <v>278</v>
      </c>
      <c r="F57" s="3" t="s">
        <v>19</v>
      </c>
    </row>
    <row r="58" ht="15.75" customHeight="1">
      <c r="A58" s="3">
        <v>57.0</v>
      </c>
      <c r="B58" s="3" t="s">
        <v>281</v>
      </c>
      <c r="C58" s="3" t="s">
        <v>256</v>
      </c>
      <c r="D58" s="3" t="s">
        <v>283</v>
      </c>
      <c r="E58" s="3" t="s">
        <v>284</v>
      </c>
      <c r="F58" s="3" t="s">
        <v>19</v>
      </c>
    </row>
    <row r="59" ht="15.75" customHeight="1">
      <c r="A59" s="3">
        <v>58.0</v>
      </c>
      <c r="B59" s="3" t="s">
        <v>286</v>
      </c>
      <c r="C59" s="3" t="s">
        <v>256</v>
      </c>
      <c r="D59" s="3" t="s">
        <v>287</v>
      </c>
      <c r="E59" s="3" t="s">
        <v>288</v>
      </c>
      <c r="F59" s="3" t="s">
        <v>19</v>
      </c>
    </row>
    <row r="60" ht="15.75" customHeight="1">
      <c r="A60" s="3">
        <v>59.0</v>
      </c>
      <c r="B60" s="3" t="s">
        <v>289</v>
      </c>
      <c r="C60" s="3" t="s">
        <v>256</v>
      </c>
      <c r="D60" s="3" t="s">
        <v>290</v>
      </c>
      <c r="E60" s="3" t="s">
        <v>291</v>
      </c>
      <c r="F60" s="3" t="s">
        <v>19</v>
      </c>
    </row>
    <row r="61" ht="15.75" customHeight="1">
      <c r="A61" s="3">
        <v>60.0</v>
      </c>
      <c r="B61" s="3" t="s">
        <v>294</v>
      </c>
      <c r="C61" s="3" t="s">
        <v>256</v>
      </c>
      <c r="D61" s="3" t="s">
        <v>296</v>
      </c>
      <c r="E61" s="3" t="s">
        <v>297</v>
      </c>
      <c r="F61" s="3" t="s">
        <v>19</v>
      </c>
    </row>
    <row r="62" ht="15.75" customHeight="1">
      <c r="A62" s="3">
        <v>61.0</v>
      </c>
      <c r="B62" s="3" t="s">
        <v>298</v>
      </c>
      <c r="C62" s="3" t="s">
        <v>256</v>
      </c>
      <c r="D62" s="3" t="s">
        <v>300</v>
      </c>
      <c r="E62" s="3" t="s">
        <v>301</v>
      </c>
      <c r="F62" s="3" t="s">
        <v>19</v>
      </c>
    </row>
    <row r="63" ht="15.75" customHeight="1">
      <c r="A63" s="3">
        <v>62.0</v>
      </c>
      <c r="B63" s="3" t="s">
        <v>303</v>
      </c>
      <c r="C63" s="3" t="s">
        <v>256</v>
      </c>
      <c r="D63" s="3" t="s">
        <v>304</v>
      </c>
      <c r="E63" s="3" t="s">
        <v>305</v>
      </c>
      <c r="F63" s="3" t="s">
        <v>19</v>
      </c>
    </row>
    <row r="64" ht="15.75" customHeight="1">
      <c r="A64" s="3">
        <v>63.0</v>
      </c>
      <c r="B64" s="3" t="s">
        <v>308</v>
      </c>
      <c r="C64" s="3" t="s">
        <v>256</v>
      </c>
      <c r="D64" s="3" t="s">
        <v>309</v>
      </c>
      <c r="E64" s="3" t="s">
        <v>310</v>
      </c>
      <c r="F64" s="3" t="s">
        <v>19</v>
      </c>
    </row>
    <row r="65" ht="15.75" customHeight="1">
      <c r="A65" s="3">
        <v>64.0</v>
      </c>
      <c r="B65" s="3" t="s">
        <v>311</v>
      </c>
      <c r="C65" s="3" t="s">
        <v>256</v>
      </c>
      <c r="D65" s="3" t="s">
        <v>313</v>
      </c>
      <c r="E65" s="3" t="s">
        <v>314</v>
      </c>
      <c r="F65" s="3" t="s">
        <v>19</v>
      </c>
    </row>
    <row r="66" ht="15.75" customHeight="1">
      <c r="A66" s="3">
        <v>65.0</v>
      </c>
      <c r="B66" s="3" t="s">
        <v>316</v>
      </c>
      <c r="C66" s="3" t="s">
        <v>256</v>
      </c>
      <c r="D66" s="3" t="s">
        <v>317</v>
      </c>
      <c r="E66" s="3" t="s">
        <v>318</v>
      </c>
      <c r="F66" s="3" t="s">
        <v>19</v>
      </c>
    </row>
    <row r="67" ht="15.75" customHeight="1">
      <c r="A67" s="3">
        <v>66.0</v>
      </c>
      <c r="B67" s="3" t="s">
        <v>321</v>
      </c>
      <c r="C67" s="3" t="s">
        <v>256</v>
      </c>
      <c r="D67" s="3" t="s">
        <v>322</v>
      </c>
      <c r="E67" s="3" t="s">
        <v>323</v>
      </c>
      <c r="F67" s="3" t="s">
        <v>19</v>
      </c>
    </row>
    <row r="68" ht="15.75" customHeight="1">
      <c r="A68" s="3">
        <v>67.0</v>
      </c>
      <c r="B68" s="3" t="s">
        <v>326</v>
      </c>
      <c r="C68" s="3" t="s">
        <v>256</v>
      </c>
      <c r="D68" s="3" t="s">
        <v>327</v>
      </c>
      <c r="E68" s="3" t="s">
        <v>328</v>
      </c>
      <c r="F68" s="3" t="s">
        <v>19</v>
      </c>
    </row>
    <row r="69" ht="15.75" customHeight="1">
      <c r="A69" s="3">
        <v>68.0</v>
      </c>
      <c r="B69" s="3" t="s">
        <v>330</v>
      </c>
      <c r="C69" s="3" t="s">
        <v>256</v>
      </c>
      <c r="D69" s="3" t="s">
        <v>332</v>
      </c>
      <c r="E69" s="3" t="s">
        <v>333</v>
      </c>
      <c r="F69" s="3" t="s">
        <v>19</v>
      </c>
    </row>
    <row r="70" ht="15.75" customHeight="1">
      <c r="A70" s="3">
        <v>69.0</v>
      </c>
      <c r="B70" s="3" t="s">
        <v>336</v>
      </c>
      <c r="C70" s="3" t="s">
        <v>256</v>
      </c>
      <c r="D70" s="3" t="s">
        <v>337</v>
      </c>
      <c r="E70" s="3" t="s">
        <v>338</v>
      </c>
      <c r="F70" s="3" t="s">
        <v>19</v>
      </c>
    </row>
    <row r="71" ht="15.75" customHeight="1">
      <c r="A71" s="3">
        <v>70.0</v>
      </c>
      <c r="B71" s="3" t="s">
        <v>339</v>
      </c>
      <c r="C71" s="3" t="s">
        <v>256</v>
      </c>
      <c r="D71" s="3" t="s">
        <v>340</v>
      </c>
      <c r="E71" s="3" t="s">
        <v>341</v>
      </c>
      <c r="F71" s="3" t="s">
        <v>19</v>
      </c>
    </row>
    <row r="72" ht="15.75" customHeight="1">
      <c r="A72" s="3">
        <v>71.0</v>
      </c>
      <c r="B72" s="3" t="s">
        <v>345</v>
      </c>
      <c r="C72" s="3" t="s">
        <v>256</v>
      </c>
      <c r="D72" s="3" t="s">
        <v>346</v>
      </c>
      <c r="E72" s="3" t="s">
        <v>347</v>
      </c>
      <c r="F72" s="3" t="s">
        <v>19</v>
      </c>
    </row>
    <row r="73" ht="15.75" customHeight="1">
      <c r="A73" s="3">
        <v>72.0</v>
      </c>
      <c r="B73" s="3" t="s">
        <v>349</v>
      </c>
      <c r="C73" s="3" t="s">
        <v>256</v>
      </c>
      <c r="D73" s="3" t="s">
        <v>350</v>
      </c>
      <c r="E73" s="3" t="s">
        <v>351</v>
      </c>
      <c r="F73" s="3" t="s">
        <v>19</v>
      </c>
    </row>
    <row r="74" ht="15.75" customHeight="1">
      <c r="A74" s="3">
        <v>73.0</v>
      </c>
      <c r="B74" s="3" t="s">
        <v>352</v>
      </c>
      <c r="C74" s="3" t="s">
        <v>256</v>
      </c>
      <c r="D74" s="3" t="s">
        <v>355</v>
      </c>
      <c r="E74" s="3" t="s">
        <v>356</v>
      </c>
      <c r="F74" s="3" t="s">
        <v>19</v>
      </c>
    </row>
    <row r="75" ht="15.75" customHeight="1">
      <c r="A75" s="3">
        <v>74.0</v>
      </c>
      <c r="B75" s="3" t="s">
        <v>357</v>
      </c>
      <c r="C75" s="3" t="s">
        <v>256</v>
      </c>
      <c r="D75" s="3" t="s">
        <v>359</v>
      </c>
      <c r="E75" s="3" t="s">
        <v>360</v>
      </c>
      <c r="F75" s="3" t="s">
        <v>19</v>
      </c>
    </row>
    <row r="76" ht="15.75" customHeight="1">
      <c r="A76" s="3">
        <v>75.0</v>
      </c>
      <c r="B76" s="3" t="s">
        <v>361</v>
      </c>
      <c r="C76" s="3" t="s">
        <v>256</v>
      </c>
      <c r="D76" s="3" t="s">
        <v>362</v>
      </c>
      <c r="E76" s="3" t="s">
        <v>364</v>
      </c>
      <c r="F76" s="3" t="s">
        <v>19</v>
      </c>
    </row>
    <row r="77" ht="15.75" customHeight="1">
      <c r="A77" s="3">
        <v>76.0</v>
      </c>
      <c r="B77" s="3" t="s">
        <v>366</v>
      </c>
      <c r="C77" s="3" t="s">
        <v>256</v>
      </c>
      <c r="D77" s="3" t="s">
        <v>368</v>
      </c>
      <c r="E77" s="3" t="s">
        <v>369</v>
      </c>
      <c r="F77" s="3" t="s">
        <v>19</v>
      </c>
    </row>
    <row r="78" ht="15.75" customHeight="1">
      <c r="A78" s="3">
        <v>77.0</v>
      </c>
      <c r="B78" s="3" t="s">
        <v>371</v>
      </c>
      <c r="C78" s="3" t="s">
        <v>256</v>
      </c>
      <c r="D78" s="3" t="s">
        <v>372</v>
      </c>
      <c r="E78" s="3" t="s">
        <v>373</v>
      </c>
      <c r="F78" s="3" t="s">
        <v>19</v>
      </c>
    </row>
    <row r="79" ht="15.75" customHeight="1">
      <c r="A79" s="3">
        <v>78.0</v>
      </c>
      <c r="B79" s="3" t="s">
        <v>374</v>
      </c>
      <c r="C79" s="3" t="s">
        <v>256</v>
      </c>
      <c r="D79" s="3" t="s">
        <v>375</v>
      </c>
      <c r="E79" s="3" t="s">
        <v>376</v>
      </c>
      <c r="F79" s="3" t="s">
        <v>19</v>
      </c>
    </row>
    <row r="80" ht="15.75" customHeight="1">
      <c r="A80" s="3">
        <v>79.0</v>
      </c>
      <c r="B80" s="3" t="s">
        <v>380</v>
      </c>
      <c r="C80" s="3" t="s">
        <v>256</v>
      </c>
      <c r="D80" s="3" t="s">
        <v>381</v>
      </c>
      <c r="E80" s="3" t="s">
        <v>382</v>
      </c>
      <c r="F80" s="3" t="s">
        <v>19</v>
      </c>
    </row>
    <row r="81" ht="15.75" customHeight="1">
      <c r="A81" s="3">
        <v>80.0</v>
      </c>
      <c r="B81" s="3" t="s">
        <v>384</v>
      </c>
      <c r="C81" s="3" t="s">
        <v>256</v>
      </c>
      <c r="D81" s="3" t="s">
        <v>386</v>
      </c>
      <c r="E81" s="3" t="s">
        <v>387</v>
      </c>
      <c r="F81" s="3" t="s">
        <v>19</v>
      </c>
    </row>
    <row r="82" ht="15.75" customHeight="1">
      <c r="A82" s="3">
        <v>81.0</v>
      </c>
      <c r="B82" s="3" t="s">
        <v>388</v>
      </c>
      <c r="C82" s="3" t="s">
        <v>256</v>
      </c>
      <c r="D82" s="3" t="s">
        <v>390</v>
      </c>
      <c r="E82" s="3" t="s">
        <v>391</v>
      </c>
      <c r="F82" s="3" t="s">
        <v>19</v>
      </c>
    </row>
    <row r="83" ht="15.75" customHeight="1">
      <c r="A83" s="3">
        <v>82.0</v>
      </c>
      <c r="B83" s="3" t="s">
        <v>394</v>
      </c>
      <c r="C83" s="3" t="s">
        <v>256</v>
      </c>
      <c r="D83" s="3" t="s">
        <v>396</v>
      </c>
      <c r="E83" s="3" t="s">
        <v>397</v>
      </c>
      <c r="F83" s="3" t="s">
        <v>19</v>
      </c>
    </row>
    <row r="84" ht="15.75" customHeight="1">
      <c r="A84" s="3">
        <v>83.0</v>
      </c>
      <c r="B84" s="3" t="s">
        <v>399</v>
      </c>
      <c r="C84" s="3" t="s">
        <v>256</v>
      </c>
      <c r="D84" s="3" t="s">
        <v>401</v>
      </c>
      <c r="E84" s="3" t="s">
        <v>402</v>
      </c>
      <c r="F84" s="3" t="s">
        <v>19</v>
      </c>
    </row>
    <row r="85" ht="15.75" customHeight="1">
      <c r="A85" s="3">
        <v>84.0</v>
      </c>
      <c r="B85" s="3" t="s">
        <v>403</v>
      </c>
      <c r="C85" s="3" t="s">
        <v>256</v>
      </c>
      <c r="D85" s="3" t="s">
        <v>404</v>
      </c>
      <c r="E85" s="3" t="s">
        <v>405</v>
      </c>
      <c r="F85" s="3" t="s">
        <v>19</v>
      </c>
    </row>
    <row r="86" ht="15.75" customHeight="1">
      <c r="A86" s="3">
        <v>85.0</v>
      </c>
      <c r="B86" s="3" t="s">
        <v>408</v>
      </c>
      <c r="C86" s="3" t="s">
        <v>256</v>
      </c>
      <c r="D86" s="3" t="s">
        <v>409</v>
      </c>
      <c r="E86" s="3" t="s">
        <v>410</v>
      </c>
      <c r="F86" s="3" t="s">
        <v>19</v>
      </c>
    </row>
    <row r="87" ht="15.75" customHeight="1">
      <c r="A87" s="3">
        <v>86.0</v>
      </c>
      <c r="B87" s="3" t="s">
        <v>413</v>
      </c>
      <c r="C87" s="3" t="s">
        <v>256</v>
      </c>
      <c r="D87" s="3" t="s">
        <v>414</v>
      </c>
      <c r="E87" s="3" t="s">
        <v>415</v>
      </c>
      <c r="F87" s="3" t="s">
        <v>19</v>
      </c>
    </row>
    <row r="88" ht="15.75" customHeight="1">
      <c r="A88" s="3">
        <v>87.0</v>
      </c>
      <c r="B88" s="3" t="s">
        <v>416</v>
      </c>
      <c r="C88" s="3" t="s">
        <v>256</v>
      </c>
      <c r="D88" s="3" t="s">
        <v>417</v>
      </c>
      <c r="E88" s="3" t="s">
        <v>419</v>
      </c>
      <c r="F88" s="3" t="s">
        <v>19</v>
      </c>
    </row>
    <row r="89" ht="15.75" customHeight="1">
      <c r="A89" s="3">
        <v>88.0</v>
      </c>
      <c r="B89" s="3" t="s">
        <v>421</v>
      </c>
      <c r="C89" s="3" t="s">
        <v>256</v>
      </c>
      <c r="D89" s="3" t="s">
        <v>423</v>
      </c>
      <c r="E89" s="3" t="s">
        <v>424</v>
      </c>
      <c r="F89" s="3" t="s">
        <v>19</v>
      </c>
    </row>
    <row r="90" ht="15.75" customHeight="1">
      <c r="A90" s="3">
        <v>89.0</v>
      </c>
      <c r="B90" s="3" t="s">
        <v>425</v>
      </c>
      <c r="C90" s="3" t="s">
        <v>256</v>
      </c>
      <c r="D90" s="3" t="s">
        <v>427</v>
      </c>
      <c r="E90" s="3" t="s">
        <v>428</v>
      </c>
      <c r="F90" s="3" t="s">
        <v>19</v>
      </c>
    </row>
    <row r="91" ht="15.75" customHeight="1">
      <c r="A91" s="3">
        <v>90.0</v>
      </c>
      <c r="B91" s="3" t="s">
        <v>429</v>
      </c>
      <c r="C91" s="3" t="s">
        <v>256</v>
      </c>
      <c r="D91" s="3" t="s">
        <v>430</v>
      </c>
      <c r="E91" s="3" t="s">
        <v>431</v>
      </c>
      <c r="F91" s="3" t="s">
        <v>19</v>
      </c>
    </row>
    <row r="92" ht="15.75" customHeight="1">
      <c r="A92" s="3">
        <v>91.0</v>
      </c>
      <c r="B92" s="3" t="s">
        <v>432</v>
      </c>
      <c r="C92" s="3" t="s">
        <v>256</v>
      </c>
      <c r="D92" s="3" t="s">
        <v>433</v>
      </c>
      <c r="E92" s="3" t="s">
        <v>435</v>
      </c>
      <c r="F92" s="3" t="s">
        <v>19</v>
      </c>
    </row>
    <row r="93" ht="15.75" customHeight="1">
      <c r="A93" s="3">
        <v>92.0</v>
      </c>
      <c r="B93" s="3" t="s">
        <v>437</v>
      </c>
      <c r="C93" s="3" t="s">
        <v>256</v>
      </c>
      <c r="D93" s="3" t="s">
        <v>438</v>
      </c>
      <c r="E93" s="3" t="s">
        <v>440</v>
      </c>
      <c r="F93" s="3" t="s">
        <v>19</v>
      </c>
    </row>
    <row r="94" ht="15.75" customHeight="1">
      <c r="A94" s="3">
        <v>93.0</v>
      </c>
      <c r="B94" s="3" t="s">
        <v>442</v>
      </c>
      <c r="C94" s="3" t="s">
        <v>256</v>
      </c>
      <c r="D94" s="3" t="s">
        <v>443</v>
      </c>
      <c r="E94" s="3" t="s">
        <v>444</v>
      </c>
      <c r="F94" s="3" t="s">
        <v>19</v>
      </c>
    </row>
    <row r="95" ht="15.75" customHeight="1">
      <c r="A95" s="3">
        <v>94.0</v>
      </c>
      <c r="B95" s="3" t="s">
        <v>445</v>
      </c>
      <c r="C95" s="3" t="s">
        <v>256</v>
      </c>
      <c r="D95" s="3" t="s">
        <v>447</v>
      </c>
      <c r="E95" s="3" t="s">
        <v>449</v>
      </c>
      <c r="F95" s="3" t="s">
        <v>19</v>
      </c>
    </row>
    <row r="96" ht="15.75" customHeight="1">
      <c r="A96" s="3">
        <v>95.0</v>
      </c>
      <c r="B96" s="3" t="s">
        <v>450</v>
      </c>
      <c r="C96" s="3" t="s">
        <v>256</v>
      </c>
      <c r="D96" s="3" t="s">
        <v>451</v>
      </c>
      <c r="E96" s="3" t="s">
        <v>453</v>
      </c>
      <c r="F96" s="3" t="s">
        <v>19</v>
      </c>
    </row>
    <row r="97" ht="15.75" customHeight="1">
      <c r="A97" s="3">
        <v>96.0</v>
      </c>
      <c r="B97" s="3" t="s">
        <v>454</v>
      </c>
      <c r="C97" s="3" t="s">
        <v>256</v>
      </c>
      <c r="D97" s="3" t="s">
        <v>455</v>
      </c>
      <c r="E97" s="3" t="s">
        <v>456</v>
      </c>
      <c r="F97" s="3" t="s">
        <v>19</v>
      </c>
    </row>
    <row r="98" ht="15.75" customHeight="1">
      <c r="A98" s="3">
        <v>97.0</v>
      </c>
      <c r="B98" s="3" t="s">
        <v>459</v>
      </c>
      <c r="C98" s="3" t="s">
        <v>256</v>
      </c>
      <c r="D98" s="3" t="s">
        <v>462</v>
      </c>
      <c r="E98" s="3" t="s">
        <v>463</v>
      </c>
      <c r="F98" s="3" t="s">
        <v>19</v>
      </c>
    </row>
    <row r="99" ht="15.75" customHeight="1">
      <c r="A99" s="3">
        <v>98.0</v>
      </c>
      <c r="B99" s="3" t="s">
        <v>464</v>
      </c>
      <c r="C99" s="3" t="s">
        <v>256</v>
      </c>
      <c r="D99" s="3" t="s">
        <v>466</v>
      </c>
      <c r="E99" s="3" t="s">
        <v>467</v>
      </c>
      <c r="F99" s="3" t="s">
        <v>19</v>
      </c>
    </row>
    <row r="100" ht="15.75" customHeight="1">
      <c r="A100" s="3">
        <v>99.0</v>
      </c>
      <c r="B100" s="3" t="s">
        <v>468</v>
      </c>
      <c r="C100" s="3" t="s">
        <v>256</v>
      </c>
      <c r="D100" s="3" t="s">
        <v>469</v>
      </c>
      <c r="E100" s="3" t="s">
        <v>470</v>
      </c>
      <c r="F100" s="3" t="s">
        <v>19</v>
      </c>
    </row>
    <row r="101" ht="15.75" customHeight="1">
      <c r="A101" s="3">
        <v>100.0</v>
      </c>
      <c r="B101" s="3" t="s">
        <v>473</v>
      </c>
      <c r="C101" s="3" t="s">
        <v>256</v>
      </c>
      <c r="D101" s="3" t="s">
        <v>474</v>
      </c>
      <c r="E101" s="3" t="s">
        <v>475</v>
      </c>
      <c r="F101" s="3" t="s">
        <v>19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101">
    <cfRule type="expression" dxfId="0" priority="1">
      <formula>C2="PRESENTE"</formula>
    </cfRule>
  </conditionalFormatting>
  <conditionalFormatting sqref="C2:C101">
    <cfRule type="expression" dxfId="1" priority="2">
      <formula>C2="AUSENTE"</formula>
    </cfRule>
  </conditionalFormatting>
  <dataValidations>
    <dataValidation type="list" allowBlank="1" sqref="F2:F101">
      <formula1>"SIM,NÃO"</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2" max="12" width="19.63"/>
  </cols>
  <sheetData>
    <row r="1">
      <c r="A1" s="2" t="s">
        <v>1</v>
      </c>
      <c r="B1" s="2" t="s">
        <v>0</v>
      </c>
      <c r="C1" s="2" t="s">
        <v>2</v>
      </c>
      <c r="D1" s="2" t="s">
        <v>3</v>
      </c>
      <c r="E1" s="2" t="s">
        <v>4</v>
      </c>
      <c r="F1" s="2" t="s">
        <v>5</v>
      </c>
      <c r="G1" s="2" t="s">
        <v>7</v>
      </c>
      <c r="H1" s="2" t="s">
        <v>9</v>
      </c>
      <c r="I1" s="2" t="s">
        <v>11</v>
      </c>
      <c r="J1" s="2" t="s">
        <v>13</v>
      </c>
      <c r="K1" s="2" t="s">
        <v>15</v>
      </c>
      <c r="L1" s="2" t="s">
        <v>16</v>
      </c>
      <c r="M1" s="2" t="s">
        <v>17</v>
      </c>
      <c r="N1" s="2" t="s">
        <v>18</v>
      </c>
      <c r="O1" s="2" t="s">
        <v>20</v>
      </c>
      <c r="P1" s="2" t="s">
        <v>21</v>
      </c>
      <c r="Q1" s="2" t="s">
        <v>23</v>
      </c>
      <c r="R1" s="2" t="s">
        <v>24</v>
      </c>
      <c r="S1" s="2" t="s">
        <v>25</v>
      </c>
    </row>
    <row r="2">
      <c r="A2" s="4" t="s">
        <v>28</v>
      </c>
      <c r="B2" s="2">
        <v>1.0</v>
      </c>
      <c r="C2" s="4" t="s">
        <v>8</v>
      </c>
      <c r="D2" s="4" t="s">
        <v>10</v>
      </c>
      <c r="E2" s="4" t="s">
        <v>12</v>
      </c>
      <c r="F2" s="4" t="s">
        <v>14</v>
      </c>
      <c r="G2" s="4" t="s">
        <v>32</v>
      </c>
      <c r="H2" s="4" t="s">
        <v>33</v>
      </c>
      <c r="I2" s="4" t="s">
        <v>34</v>
      </c>
      <c r="K2" s="2">
        <v>17695.0</v>
      </c>
      <c r="L2" s="5">
        <v>46241.031226851854</v>
      </c>
      <c r="M2" s="2" t="b">
        <v>1</v>
      </c>
      <c r="N2" s="2" t="b">
        <v>1</v>
      </c>
      <c r="O2" s="2">
        <v>8.0</v>
      </c>
      <c r="P2" s="2">
        <v>0.5408</v>
      </c>
      <c r="Q2" s="4" t="s">
        <v>36</v>
      </c>
      <c r="R2" s="2" t="s">
        <v>37</v>
      </c>
      <c r="S2" s="2" t="s">
        <v>39</v>
      </c>
    </row>
    <row r="3">
      <c r="A3" s="4" t="s">
        <v>28</v>
      </c>
      <c r="B3" s="2">
        <v>2.0</v>
      </c>
      <c r="C3" s="4" t="s">
        <v>22</v>
      </c>
      <c r="D3" s="4" t="s">
        <v>10</v>
      </c>
      <c r="E3" s="4" t="s">
        <v>26</v>
      </c>
      <c r="F3" s="4" t="s">
        <v>27</v>
      </c>
      <c r="G3" s="4" t="s">
        <v>43</v>
      </c>
      <c r="H3" s="4" t="s">
        <v>45</v>
      </c>
      <c r="I3" s="4" t="s">
        <v>34</v>
      </c>
      <c r="K3" s="2">
        <v>17596.0</v>
      </c>
      <c r="L3" s="5">
        <v>46241.03146990741</v>
      </c>
      <c r="M3" s="2" t="b">
        <v>1</v>
      </c>
      <c r="N3" s="2" t="b">
        <v>1</v>
      </c>
      <c r="O3" s="2">
        <v>8.0</v>
      </c>
      <c r="P3" s="2">
        <v>0.7657</v>
      </c>
      <c r="Q3" s="4" t="s">
        <v>47</v>
      </c>
      <c r="R3" s="2" t="s">
        <v>37</v>
      </c>
      <c r="S3" s="2" t="s">
        <v>49</v>
      </c>
    </row>
    <row r="4">
      <c r="A4" s="4" t="s">
        <v>28</v>
      </c>
      <c r="B4" s="2">
        <v>3.0</v>
      </c>
      <c r="C4" s="4" t="s">
        <v>29</v>
      </c>
      <c r="D4" s="4" t="s">
        <v>10</v>
      </c>
      <c r="E4" s="4" t="s">
        <v>30</v>
      </c>
      <c r="F4" s="4" t="s">
        <v>31</v>
      </c>
      <c r="G4" s="4" t="s">
        <v>52</v>
      </c>
      <c r="H4" s="4" t="s">
        <v>54</v>
      </c>
      <c r="I4" s="4" t="s">
        <v>34</v>
      </c>
      <c r="K4" s="2">
        <v>18046.0</v>
      </c>
      <c r="L4" s="5">
        <v>46241.03172453704</v>
      </c>
      <c r="M4" s="2" t="b">
        <v>1</v>
      </c>
      <c r="N4" s="2" t="b">
        <v>1</v>
      </c>
      <c r="O4" s="2">
        <v>8.0</v>
      </c>
      <c r="P4" s="2">
        <v>0.792</v>
      </c>
      <c r="Q4" s="4" t="s">
        <v>56</v>
      </c>
      <c r="R4" s="2" t="s">
        <v>37</v>
      </c>
      <c r="S4" s="2" t="s">
        <v>49</v>
      </c>
    </row>
    <row r="5">
      <c r="A5" s="4" t="s">
        <v>28</v>
      </c>
      <c r="B5" s="2">
        <v>4.0</v>
      </c>
      <c r="C5" s="4" t="s">
        <v>35</v>
      </c>
      <c r="D5" s="4" t="s">
        <v>10</v>
      </c>
      <c r="E5" s="4" t="s">
        <v>38</v>
      </c>
      <c r="F5" s="4" t="s">
        <v>40</v>
      </c>
      <c r="G5" s="4" t="s">
        <v>61</v>
      </c>
      <c r="H5" s="4" t="s">
        <v>63</v>
      </c>
      <c r="I5" s="4" t="s">
        <v>34</v>
      </c>
      <c r="K5" s="2">
        <v>16733.0</v>
      </c>
      <c r="L5" s="5">
        <v>46241.03194444445</v>
      </c>
      <c r="M5" s="2" t="b">
        <v>1</v>
      </c>
      <c r="N5" s="2" t="b">
        <v>1</v>
      </c>
      <c r="O5" s="2">
        <v>8.0</v>
      </c>
      <c r="P5" s="2">
        <v>0.631</v>
      </c>
      <c r="Q5" s="4" t="s">
        <v>65</v>
      </c>
      <c r="R5" s="2" t="s">
        <v>37</v>
      </c>
      <c r="S5" s="2" t="s">
        <v>67</v>
      </c>
    </row>
    <row r="6">
      <c r="A6" s="4" t="s">
        <v>28</v>
      </c>
      <c r="B6" s="2">
        <v>5.0</v>
      </c>
      <c r="C6" s="4" t="s">
        <v>41</v>
      </c>
      <c r="D6" s="4" t="s">
        <v>10</v>
      </c>
      <c r="E6" s="4" t="s">
        <v>42</v>
      </c>
      <c r="F6" s="4" t="s">
        <v>44</v>
      </c>
      <c r="G6" s="4" t="s">
        <v>71</v>
      </c>
      <c r="H6" s="4" t="s">
        <v>73</v>
      </c>
      <c r="I6" s="4" t="s">
        <v>34</v>
      </c>
      <c r="K6" s="2">
        <v>18148.0</v>
      </c>
      <c r="L6" s="5">
        <v>46241.03219907408</v>
      </c>
      <c r="M6" s="2" t="b">
        <v>1</v>
      </c>
      <c r="N6" s="2" t="b">
        <v>1</v>
      </c>
      <c r="O6" s="2">
        <v>8.0</v>
      </c>
      <c r="P6" s="2">
        <v>0.7103</v>
      </c>
      <c r="Q6" s="4" t="s">
        <v>76</v>
      </c>
      <c r="R6" s="2" t="s">
        <v>37</v>
      </c>
      <c r="S6" s="2" t="s">
        <v>49</v>
      </c>
    </row>
    <row r="7">
      <c r="A7" s="4" t="s">
        <v>28</v>
      </c>
      <c r="B7" s="2">
        <v>6.0</v>
      </c>
      <c r="C7" s="4" t="s">
        <v>46</v>
      </c>
      <c r="D7" s="4" t="s">
        <v>10</v>
      </c>
      <c r="E7" s="4" t="s">
        <v>48</v>
      </c>
      <c r="F7" s="4" t="s">
        <v>50</v>
      </c>
      <c r="G7" s="4" t="s">
        <v>80</v>
      </c>
      <c r="H7" s="4" t="s">
        <v>82</v>
      </c>
      <c r="I7" s="4" t="s">
        <v>34</v>
      </c>
      <c r="K7" s="2">
        <v>16384.0</v>
      </c>
      <c r="L7" s="5">
        <v>46241.03244212963</v>
      </c>
      <c r="M7" s="2" t="b">
        <v>1</v>
      </c>
      <c r="N7" s="2" t="b">
        <v>1</v>
      </c>
      <c r="O7" s="2">
        <v>8.0</v>
      </c>
      <c r="P7" s="2">
        <v>0.6674</v>
      </c>
      <c r="Q7" s="4" t="s">
        <v>85</v>
      </c>
      <c r="R7" s="2" t="s">
        <v>37</v>
      </c>
      <c r="S7" s="2" t="s">
        <v>49</v>
      </c>
    </row>
    <row r="8">
      <c r="A8" s="4" t="s">
        <v>28</v>
      </c>
      <c r="B8" s="2">
        <v>7.0</v>
      </c>
      <c r="C8" s="4" t="s">
        <v>51</v>
      </c>
      <c r="D8" s="4" t="s">
        <v>10</v>
      </c>
      <c r="E8" s="4" t="s">
        <v>53</v>
      </c>
      <c r="F8" s="4" t="s">
        <v>55</v>
      </c>
      <c r="G8" s="4" t="s">
        <v>89</v>
      </c>
      <c r="H8" s="4" t="s">
        <v>90</v>
      </c>
      <c r="I8" s="4" t="s">
        <v>34</v>
      </c>
      <c r="K8" s="2">
        <v>15723.0</v>
      </c>
      <c r="L8" s="5">
        <v>46241.03265046296</v>
      </c>
      <c r="M8" s="2" t="b">
        <v>1</v>
      </c>
      <c r="N8" s="2" t="b">
        <v>1</v>
      </c>
      <c r="O8" s="2">
        <v>8.0</v>
      </c>
      <c r="P8" s="2">
        <v>0.8013</v>
      </c>
      <c r="Q8" s="4" t="s">
        <v>93</v>
      </c>
      <c r="R8" s="2" t="s">
        <v>37</v>
      </c>
      <c r="S8" s="2" t="s">
        <v>67</v>
      </c>
    </row>
    <row r="9">
      <c r="A9" s="4" t="s">
        <v>28</v>
      </c>
      <c r="B9" s="2">
        <v>8.0</v>
      </c>
      <c r="C9" s="4" t="s">
        <v>57</v>
      </c>
      <c r="D9" s="4" t="s">
        <v>10</v>
      </c>
      <c r="E9" s="4" t="s">
        <v>58</v>
      </c>
      <c r="F9" s="4" t="s">
        <v>59</v>
      </c>
      <c r="G9" s="4" t="s">
        <v>98</v>
      </c>
      <c r="H9" s="4" t="s">
        <v>100</v>
      </c>
      <c r="I9" s="4" t="s">
        <v>34</v>
      </c>
      <c r="K9" s="2">
        <v>16853.0</v>
      </c>
      <c r="L9" s="5">
        <v>46241.03296296296</v>
      </c>
      <c r="M9" s="2" t="b">
        <v>1</v>
      </c>
      <c r="N9" s="2" t="b">
        <v>1</v>
      </c>
      <c r="O9" s="2">
        <v>8.0</v>
      </c>
      <c r="P9" s="2">
        <v>0.7029</v>
      </c>
      <c r="Q9" s="4" t="s">
        <v>103</v>
      </c>
      <c r="R9" s="2" t="s">
        <v>37</v>
      </c>
      <c r="S9" s="2" t="s">
        <v>67</v>
      </c>
    </row>
    <row r="10">
      <c r="A10" s="4" t="s">
        <v>28</v>
      </c>
      <c r="B10" s="2">
        <v>9.0</v>
      </c>
      <c r="C10" s="4" t="s">
        <v>60</v>
      </c>
      <c r="D10" s="4" t="s">
        <v>10</v>
      </c>
      <c r="E10" s="4" t="s">
        <v>62</v>
      </c>
      <c r="F10" s="4" t="s">
        <v>64</v>
      </c>
      <c r="G10" s="4" t="s">
        <v>107</v>
      </c>
      <c r="H10" s="4" t="s">
        <v>108</v>
      </c>
      <c r="I10" s="4" t="s">
        <v>34</v>
      </c>
      <c r="K10" s="2">
        <v>16453.0</v>
      </c>
      <c r="L10" s="5">
        <v>46241.03318287037</v>
      </c>
      <c r="M10" s="2" t="b">
        <v>1</v>
      </c>
      <c r="N10" s="2" t="b">
        <v>1</v>
      </c>
      <c r="O10" s="2">
        <v>8.0</v>
      </c>
      <c r="P10" s="2">
        <v>0.8355</v>
      </c>
      <c r="Q10" s="4" t="s">
        <v>111</v>
      </c>
      <c r="R10" s="2" t="s">
        <v>37</v>
      </c>
      <c r="S10" s="2" t="s">
        <v>49</v>
      </c>
    </row>
    <row r="11">
      <c r="A11" s="4" t="s">
        <v>28</v>
      </c>
      <c r="B11" s="2">
        <v>10.0</v>
      </c>
      <c r="C11" s="4" t="s">
        <v>66</v>
      </c>
      <c r="D11" s="4" t="s">
        <v>10</v>
      </c>
      <c r="E11" s="4" t="s">
        <v>68</v>
      </c>
      <c r="F11" s="4" t="s">
        <v>69</v>
      </c>
      <c r="G11" s="4" t="s">
        <v>115</v>
      </c>
      <c r="H11" s="4" t="s">
        <v>116</v>
      </c>
      <c r="I11" s="4" t="s">
        <v>34</v>
      </c>
      <c r="K11" s="2">
        <v>17093.0</v>
      </c>
      <c r="L11" s="5">
        <v>46241.033425925925</v>
      </c>
      <c r="M11" s="2" t="b">
        <v>1</v>
      </c>
      <c r="N11" s="2" t="b">
        <v>1</v>
      </c>
      <c r="O11" s="2">
        <v>8.0</v>
      </c>
      <c r="P11" s="2">
        <v>0.8224</v>
      </c>
      <c r="Q11" s="4" t="s">
        <v>120</v>
      </c>
      <c r="R11" s="2" t="s">
        <v>37</v>
      </c>
      <c r="S11" s="2" t="s">
        <v>49</v>
      </c>
    </row>
    <row r="12">
      <c r="A12" s="4" t="s">
        <v>28</v>
      </c>
      <c r="B12" s="2">
        <v>11.0</v>
      </c>
      <c r="C12" s="4" t="s">
        <v>70</v>
      </c>
      <c r="D12" s="4" t="s">
        <v>10</v>
      </c>
      <c r="E12" s="4" t="s">
        <v>72</v>
      </c>
      <c r="F12" s="4" t="s">
        <v>74</v>
      </c>
      <c r="G12" s="4" t="s">
        <v>124</v>
      </c>
      <c r="H12" s="4" t="s">
        <v>125</v>
      </c>
      <c r="I12" s="4" t="s">
        <v>34</v>
      </c>
      <c r="K12" s="2">
        <v>17320.0</v>
      </c>
      <c r="L12" s="5">
        <v>46241.03366898148</v>
      </c>
      <c r="M12" s="2" t="b">
        <v>1</v>
      </c>
      <c r="N12" s="2" t="b">
        <v>1</v>
      </c>
      <c r="O12" s="2">
        <v>8.0</v>
      </c>
      <c r="P12" s="2">
        <v>0.6084</v>
      </c>
      <c r="Q12" s="4" t="s">
        <v>129</v>
      </c>
      <c r="R12" s="2" t="s">
        <v>37</v>
      </c>
      <c r="S12" s="2" t="s">
        <v>130</v>
      </c>
    </row>
    <row r="13">
      <c r="A13" s="4" t="s">
        <v>28</v>
      </c>
      <c r="B13" s="2">
        <v>12.0</v>
      </c>
      <c r="C13" s="4" t="s">
        <v>75</v>
      </c>
      <c r="D13" s="4" t="s">
        <v>10</v>
      </c>
      <c r="E13" s="4" t="s">
        <v>77</v>
      </c>
      <c r="F13" s="4" t="s">
        <v>78</v>
      </c>
      <c r="G13" s="4" t="s">
        <v>134</v>
      </c>
      <c r="H13" s="4" t="s">
        <v>135</v>
      </c>
      <c r="I13" s="4" t="s">
        <v>34</v>
      </c>
      <c r="K13" s="2">
        <v>17543.0</v>
      </c>
      <c r="L13" s="5">
        <v>46241.033900462964</v>
      </c>
      <c r="M13" s="2" t="b">
        <v>1</v>
      </c>
      <c r="N13" s="2" t="b">
        <v>1</v>
      </c>
      <c r="O13" s="2">
        <v>8.0</v>
      </c>
      <c r="P13" s="2">
        <v>0.6363</v>
      </c>
      <c r="Q13" s="4" t="s">
        <v>139</v>
      </c>
      <c r="R13" s="2" t="s">
        <v>37</v>
      </c>
      <c r="S13" s="2" t="s">
        <v>49</v>
      </c>
    </row>
    <row r="14">
      <c r="A14" s="4" t="s">
        <v>28</v>
      </c>
      <c r="B14" s="2">
        <v>13.0</v>
      </c>
      <c r="C14" s="4" t="s">
        <v>79</v>
      </c>
      <c r="D14" s="4" t="s">
        <v>10</v>
      </c>
      <c r="E14" s="4" t="s">
        <v>81</v>
      </c>
      <c r="F14" s="4" t="s">
        <v>83</v>
      </c>
      <c r="G14" s="4" t="s">
        <v>143</v>
      </c>
      <c r="H14" s="4" t="s">
        <v>145</v>
      </c>
      <c r="I14" s="4" t="s">
        <v>34</v>
      </c>
      <c r="K14" s="2">
        <v>16952.0</v>
      </c>
      <c r="L14" s="5">
        <v>46241.03413194444</v>
      </c>
      <c r="M14" s="2" t="b">
        <v>1</v>
      </c>
      <c r="N14" s="2" t="b">
        <v>1</v>
      </c>
      <c r="O14" s="2">
        <v>8.0</v>
      </c>
      <c r="P14" s="2">
        <v>0.7972</v>
      </c>
      <c r="Q14" s="4" t="s">
        <v>148</v>
      </c>
      <c r="R14" s="2" t="s">
        <v>37</v>
      </c>
      <c r="S14" s="2" t="s">
        <v>150</v>
      </c>
    </row>
    <row r="15">
      <c r="A15" s="4" t="s">
        <v>28</v>
      </c>
      <c r="B15" s="2">
        <v>14.0</v>
      </c>
      <c r="C15" s="4" t="s">
        <v>84</v>
      </c>
      <c r="D15" s="4" t="s">
        <v>10</v>
      </c>
      <c r="E15" s="4" t="s">
        <v>86</v>
      </c>
      <c r="F15" s="4" t="s">
        <v>87</v>
      </c>
      <c r="G15" s="4" t="s">
        <v>156</v>
      </c>
      <c r="H15" s="4" t="s">
        <v>157</v>
      </c>
      <c r="I15" s="4" t="s">
        <v>34</v>
      </c>
      <c r="K15" s="2">
        <v>21467.0</v>
      </c>
      <c r="L15" s="5">
        <v>46241.034421296295</v>
      </c>
      <c r="M15" s="2" t="b">
        <v>1</v>
      </c>
      <c r="N15" s="2" t="b">
        <v>1</v>
      </c>
      <c r="O15" s="2">
        <v>8.0</v>
      </c>
      <c r="P15" s="2">
        <v>0.7842</v>
      </c>
      <c r="Q15" s="4" t="s">
        <v>161</v>
      </c>
      <c r="R15" s="2" t="s">
        <v>37</v>
      </c>
      <c r="S15" s="2" t="s">
        <v>49</v>
      </c>
    </row>
    <row r="16">
      <c r="A16" s="4" t="s">
        <v>28</v>
      </c>
      <c r="B16" s="2">
        <v>15.0</v>
      </c>
      <c r="C16" s="4" t="s">
        <v>88</v>
      </c>
      <c r="D16" s="4" t="s">
        <v>10</v>
      </c>
      <c r="E16" s="4" t="s">
        <v>91</v>
      </c>
      <c r="F16" s="4" t="s">
        <v>92</v>
      </c>
      <c r="G16" s="4" t="s">
        <v>166</v>
      </c>
      <c r="H16" s="4" t="s">
        <v>168</v>
      </c>
      <c r="I16" s="4" t="s">
        <v>34</v>
      </c>
      <c r="K16" s="2">
        <v>17489.0</v>
      </c>
      <c r="L16" s="5">
        <v>46241.03466435185</v>
      </c>
      <c r="M16" s="2" t="b">
        <v>1</v>
      </c>
      <c r="N16" s="2" t="b">
        <v>1</v>
      </c>
      <c r="O16" s="2">
        <v>8.0</v>
      </c>
      <c r="P16" s="2">
        <v>0.718</v>
      </c>
      <c r="Q16" s="4" t="s">
        <v>171</v>
      </c>
      <c r="R16" s="2" t="s">
        <v>37</v>
      </c>
      <c r="S16" s="2" t="s">
        <v>49</v>
      </c>
    </row>
    <row r="17">
      <c r="A17" s="4" t="s">
        <v>28</v>
      </c>
      <c r="B17" s="2">
        <v>16.0</v>
      </c>
      <c r="C17" s="4" t="s">
        <v>94</v>
      </c>
      <c r="D17" s="4" t="s">
        <v>10</v>
      </c>
      <c r="E17" s="4" t="s">
        <v>95</v>
      </c>
      <c r="F17" s="4" t="s">
        <v>96</v>
      </c>
      <c r="G17" s="4" t="s">
        <v>177</v>
      </c>
      <c r="H17" s="4" t="s">
        <v>178</v>
      </c>
      <c r="I17" s="4" t="s">
        <v>34</v>
      </c>
      <c r="K17" s="2">
        <v>18578.0</v>
      </c>
      <c r="L17" s="5">
        <v>46241.03491898148</v>
      </c>
      <c r="M17" s="2" t="b">
        <v>1</v>
      </c>
      <c r="N17" s="2" t="b">
        <v>1</v>
      </c>
      <c r="O17" s="2">
        <v>8.0</v>
      </c>
      <c r="P17" s="2">
        <v>0.7359</v>
      </c>
      <c r="Q17" s="4" t="s">
        <v>182</v>
      </c>
      <c r="R17" s="2" t="s">
        <v>37</v>
      </c>
      <c r="S17" s="2" t="s">
        <v>49</v>
      </c>
    </row>
    <row r="18">
      <c r="A18" s="4" t="s">
        <v>28</v>
      </c>
      <c r="B18" s="2">
        <v>17.0</v>
      </c>
      <c r="C18" s="4" t="s">
        <v>97</v>
      </c>
      <c r="D18" s="4" t="s">
        <v>10</v>
      </c>
      <c r="E18" s="4" t="s">
        <v>99</v>
      </c>
      <c r="F18" s="4" t="s">
        <v>101</v>
      </c>
      <c r="G18" s="4" t="s">
        <v>186</v>
      </c>
      <c r="H18" s="4" t="s">
        <v>188</v>
      </c>
      <c r="I18" s="4" t="s">
        <v>34</v>
      </c>
      <c r="K18" s="2">
        <v>15814.0</v>
      </c>
      <c r="L18" s="5">
        <v>46241.03513888889</v>
      </c>
      <c r="M18" s="2" t="b">
        <v>1</v>
      </c>
      <c r="N18" s="2" t="b">
        <v>1</v>
      </c>
      <c r="O18" s="2">
        <v>8.0</v>
      </c>
      <c r="P18" s="2">
        <v>0.7566</v>
      </c>
      <c r="Q18" s="4" t="s">
        <v>193</v>
      </c>
      <c r="R18" s="2" t="s">
        <v>37</v>
      </c>
      <c r="S18" s="2" t="s">
        <v>49</v>
      </c>
    </row>
    <row r="19">
      <c r="A19" s="4" t="s">
        <v>28</v>
      </c>
      <c r="B19" s="2">
        <v>18.0</v>
      </c>
      <c r="C19" s="4" t="s">
        <v>102</v>
      </c>
      <c r="D19" s="4" t="s">
        <v>10</v>
      </c>
      <c r="E19" s="4" t="s">
        <v>104</v>
      </c>
      <c r="F19" s="4" t="s">
        <v>105</v>
      </c>
      <c r="G19" s="4" t="s">
        <v>202</v>
      </c>
      <c r="H19" s="4" t="s">
        <v>203</v>
      </c>
      <c r="I19" s="4" t="s">
        <v>34</v>
      </c>
      <c r="K19" s="2">
        <v>18003.0</v>
      </c>
      <c r="L19" s="5">
        <v>46241.035405092596</v>
      </c>
      <c r="M19" s="2" t="b">
        <v>1</v>
      </c>
      <c r="N19" s="2" t="b">
        <v>1</v>
      </c>
      <c r="O19" s="2">
        <v>8.0</v>
      </c>
      <c r="P19" s="2">
        <v>0.7785</v>
      </c>
      <c r="Q19" s="4" t="s">
        <v>209</v>
      </c>
      <c r="R19" s="2" t="s">
        <v>37</v>
      </c>
      <c r="S19" s="2" t="s">
        <v>49</v>
      </c>
    </row>
    <row r="20">
      <c r="A20" s="4" t="s">
        <v>28</v>
      </c>
      <c r="B20" s="2">
        <v>19.0</v>
      </c>
      <c r="C20" s="4" t="s">
        <v>106</v>
      </c>
      <c r="D20" s="4" t="s">
        <v>10</v>
      </c>
      <c r="E20" s="4" t="s">
        <v>109</v>
      </c>
      <c r="F20" s="4" t="s">
        <v>110</v>
      </c>
      <c r="G20" s="4" t="s">
        <v>215</v>
      </c>
      <c r="H20" s="4" t="s">
        <v>217</v>
      </c>
      <c r="I20" s="4" t="s">
        <v>34</v>
      </c>
      <c r="K20" s="2">
        <v>21035.0</v>
      </c>
      <c r="L20" s="5">
        <v>46241.03568287037</v>
      </c>
      <c r="M20" s="2" t="b">
        <v>1</v>
      </c>
      <c r="N20" s="2" t="b">
        <v>1</v>
      </c>
      <c r="O20" s="2">
        <v>8.0</v>
      </c>
      <c r="P20" s="2">
        <v>0.5121</v>
      </c>
      <c r="Q20" s="4" t="s">
        <v>220</v>
      </c>
      <c r="R20" s="2" t="s">
        <v>37</v>
      </c>
      <c r="S20" s="2" t="s">
        <v>222</v>
      </c>
    </row>
    <row r="21">
      <c r="A21" s="4" t="s">
        <v>28</v>
      </c>
      <c r="B21" s="2">
        <v>20.0</v>
      </c>
      <c r="C21" s="4" t="s">
        <v>112</v>
      </c>
      <c r="D21" s="4" t="s">
        <v>10</v>
      </c>
      <c r="E21" s="4" t="s">
        <v>113</v>
      </c>
      <c r="F21" s="4" t="s">
        <v>114</v>
      </c>
      <c r="G21" s="4" t="s">
        <v>228</v>
      </c>
      <c r="H21" s="4" t="s">
        <v>230</v>
      </c>
      <c r="I21" s="4" t="s">
        <v>34</v>
      </c>
      <c r="K21" s="2">
        <v>17226.0</v>
      </c>
      <c r="L21" s="5">
        <v>46241.03591435185</v>
      </c>
      <c r="M21" s="2" t="b">
        <v>1</v>
      </c>
      <c r="N21" s="2" t="b">
        <v>1</v>
      </c>
      <c r="O21" s="2">
        <v>8.0</v>
      </c>
      <c r="P21" s="2">
        <v>0.7743</v>
      </c>
      <c r="Q21" s="4" t="s">
        <v>234</v>
      </c>
      <c r="R21" s="2" t="s">
        <v>37</v>
      </c>
      <c r="S21" s="2" t="s">
        <v>235</v>
      </c>
    </row>
    <row r="22">
      <c r="A22" s="4" t="s">
        <v>28</v>
      </c>
      <c r="B22" s="2">
        <v>21.0</v>
      </c>
      <c r="C22" s="4" t="s">
        <v>117</v>
      </c>
      <c r="D22" s="4" t="s">
        <v>10</v>
      </c>
      <c r="E22" s="4" t="s">
        <v>118</v>
      </c>
      <c r="F22" s="4" t="s">
        <v>119</v>
      </c>
      <c r="G22" s="4" t="s">
        <v>240</v>
      </c>
      <c r="H22" s="4" t="s">
        <v>242</v>
      </c>
      <c r="I22" s="4" t="s">
        <v>34</v>
      </c>
      <c r="K22" s="2">
        <v>16772.0</v>
      </c>
      <c r="L22" s="5">
        <v>46241.036145833335</v>
      </c>
      <c r="M22" s="2" t="b">
        <v>1</v>
      </c>
      <c r="N22" s="2" t="b">
        <v>1</v>
      </c>
      <c r="O22" s="2">
        <v>8.0</v>
      </c>
      <c r="P22" s="2">
        <v>0.7351</v>
      </c>
      <c r="Q22" s="4" t="s">
        <v>247</v>
      </c>
      <c r="R22" s="2" t="s">
        <v>37</v>
      </c>
      <c r="S22" s="2" t="s">
        <v>49</v>
      </c>
    </row>
    <row r="23">
      <c r="A23" s="4" t="s">
        <v>28</v>
      </c>
      <c r="B23" s="2">
        <v>22.0</v>
      </c>
      <c r="C23" s="4" t="s">
        <v>121</v>
      </c>
      <c r="D23" s="4" t="s">
        <v>10</v>
      </c>
      <c r="E23" s="4" t="s">
        <v>122</v>
      </c>
      <c r="F23" s="4" t="s">
        <v>123</v>
      </c>
      <c r="G23" s="4" t="s">
        <v>253</v>
      </c>
      <c r="H23" s="4" t="s">
        <v>255</v>
      </c>
      <c r="I23" s="4" t="s">
        <v>34</v>
      </c>
      <c r="K23" s="2">
        <v>18402.0</v>
      </c>
      <c r="L23" s="5">
        <v>46241.03640046297</v>
      </c>
      <c r="M23" s="2" t="b">
        <v>1</v>
      </c>
      <c r="N23" s="2" t="b">
        <v>1</v>
      </c>
      <c r="O23" s="2">
        <v>8.0</v>
      </c>
      <c r="P23" s="2">
        <v>0.7142</v>
      </c>
      <c r="Q23" s="4" t="s">
        <v>261</v>
      </c>
      <c r="R23" s="2" t="s">
        <v>37</v>
      </c>
      <c r="S23" s="2" t="s">
        <v>67</v>
      </c>
    </row>
    <row r="24">
      <c r="A24" s="4" t="s">
        <v>28</v>
      </c>
      <c r="B24" s="2">
        <v>23.0</v>
      </c>
      <c r="C24" s="4" t="s">
        <v>126</v>
      </c>
      <c r="D24" s="4" t="s">
        <v>10</v>
      </c>
      <c r="E24" s="4" t="s">
        <v>127</v>
      </c>
      <c r="F24" s="4" t="s">
        <v>128</v>
      </c>
      <c r="G24" s="4" t="s">
        <v>269</v>
      </c>
      <c r="H24" s="4" t="s">
        <v>270</v>
      </c>
      <c r="I24" s="4" t="s">
        <v>34</v>
      </c>
      <c r="K24" s="2">
        <v>16570.0</v>
      </c>
      <c r="L24" s="5">
        <v>46241.03662037037</v>
      </c>
      <c r="M24" s="2" t="b">
        <v>1</v>
      </c>
      <c r="N24" s="2" t="b">
        <v>1</v>
      </c>
      <c r="O24" s="2">
        <v>8.0</v>
      </c>
      <c r="P24" s="2">
        <v>0.8848</v>
      </c>
      <c r="Q24" s="4" t="s">
        <v>275</v>
      </c>
      <c r="R24" s="2" t="s">
        <v>37</v>
      </c>
      <c r="S24" s="2" t="s">
        <v>49</v>
      </c>
    </row>
    <row r="25">
      <c r="A25" s="4" t="s">
        <v>28</v>
      </c>
      <c r="B25" s="2">
        <v>24.0</v>
      </c>
      <c r="C25" s="4" t="s">
        <v>131</v>
      </c>
      <c r="D25" s="4" t="s">
        <v>10</v>
      </c>
      <c r="E25" s="4" t="s">
        <v>132</v>
      </c>
      <c r="F25" s="4" t="s">
        <v>133</v>
      </c>
      <c r="G25" s="4" t="s">
        <v>279</v>
      </c>
      <c r="H25" s="4" t="s">
        <v>280</v>
      </c>
      <c r="I25" s="4" t="s">
        <v>34</v>
      </c>
      <c r="K25" s="2">
        <v>17177.0</v>
      </c>
      <c r="L25" s="5">
        <v>46241.03686342593</v>
      </c>
      <c r="M25" s="2" t="b">
        <v>1</v>
      </c>
      <c r="N25" s="2" t="b">
        <v>1</v>
      </c>
      <c r="O25" s="2">
        <v>8.0</v>
      </c>
      <c r="P25" s="2">
        <v>0.7923</v>
      </c>
      <c r="Q25" s="4" t="s">
        <v>285</v>
      </c>
      <c r="R25" s="2" t="s">
        <v>37</v>
      </c>
      <c r="S25" s="2" t="s">
        <v>49</v>
      </c>
    </row>
    <row r="26">
      <c r="A26" s="4" t="s">
        <v>28</v>
      </c>
      <c r="B26" s="2">
        <v>25.0</v>
      </c>
      <c r="C26" s="4" t="s">
        <v>136</v>
      </c>
      <c r="D26" s="4" t="s">
        <v>10</v>
      </c>
      <c r="E26" s="4" t="s">
        <v>137</v>
      </c>
      <c r="F26" s="4" t="s">
        <v>138</v>
      </c>
      <c r="G26" s="4" t="s">
        <v>293</v>
      </c>
      <c r="H26" s="4" t="s">
        <v>295</v>
      </c>
      <c r="I26" s="4" t="s">
        <v>34</v>
      </c>
      <c r="K26" s="2">
        <v>18547.0</v>
      </c>
      <c r="L26" s="5">
        <v>46241.03711805555</v>
      </c>
      <c r="M26" s="2" t="b">
        <v>1</v>
      </c>
      <c r="N26" s="2" t="b">
        <v>1</v>
      </c>
      <c r="O26" s="2">
        <v>8.0</v>
      </c>
      <c r="P26" s="2">
        <v>0.7078</v>
      </c>
      <c r="Q26" s="4" t="s">
        <v>299</v>
      </c>
      <c r="R26" s="2" t="s">
        <v>37</v>
      </c>
      <c r="S26" s="2" t="s">
        <v>49</v>
      </c>
    </row>
    <row r="27">
      <c r="A27" s="4" t="s">
        <v>28</v>
      </c>
      <c r="B27" s="2">
        <v>26.0</v>
      </c>
      <c r="C27" s="4" t="s">
        <v>140</v>
      </c>
      <c r="D27" s="4" t="s">
        <v>10</v>
      </c>
      <c r="E27" s="4" t="s">
        <v>141</v>
      </c>
      <c r="F27" s="4" t="s">
        <v>142</v>
      </c>
      <c r="G27" s="4" t="s">
        <v>306</v>
      </c>
      <c r="H27" s="4" t="s">
        <v>307</v>
      </c>
      <c r="I27" s="4" t="s">
        <v>34</v>
      </c>
      <c r="K27" s="2">
        <v>18880.0</v>
      </c>
      <c r="L27" s="5">
        <v>46241.03738425926</v>
      </c>
      <c r="M27" s="2" t="b">
        <v>1</v>
      </c>
      <c r="N27" s="2" t="b">
        <v>1</v>
      </c>
      <c r="O27" s="2">
        <v>8.0</v>
      </c>
      <c r="P27" s="2">
        <v>0.7726</v>
      </c>
      <c r="Q27" s="4" t="s">
        <v>312</v>
      </c>
      <c r="R27" s="2" t="s">
        <v>37</v>
      </c>
      <c r="S27" s="2" t="s">
        <v>49</v>
      </c>
    </row>
    <row r="28">
      <c r="A28" s="4" t="s">
        <v>28</v>
      </c>
      <c r="B28" s="2">
        <v>27.0</v>
      </c>
      <c r="C28" s="4" t="s">
        <v>144</v>
      </c>
      <c r="D28" s="4" t="s">
        <v>10</v>
      </c>
      <c r="E28" s="4" t="s">
        <v>146</v>
      </c>
      <c r="F28" s="4" t="s">
        <v>147</v>
      </c>
      <c r="G28" s="4" t="s">
        <v>319</v>
      </c>
      <c r="H28" s="4" t="s">
        <v>320</v>
      </c>
      <c r="I28" s="4" t="s">
        <v>34</v>
      </c>
      <c r="K28" s="2">
        <v>19638.0</v>
      </c>
      <c r="L28" s="5">
        <v>46241.03766203704</v>
      </c>
      <c r="M28" s="2" t="b">
        <v>1</v>
      </c>
      <c r="N28" s="2" t="b">
        <v>1</v>
      </c>
      <c r="O28" s="2">
        <v>8.0</v>
      </c>
      <c r="P28" s="2">
        <v>0.786</v>
      </c>
      <c r="Q28" s="4" t="s">
        <v>324</v>
      </c>
      <c r="R28" s="2" t="s">
        <v>37</v>
      </c>
      <c r="S28" s="2" t="s">
        <v>49</v>
      </c>
    </row>
    <row r="29">
      <c r="A29" s="4" t="s">
        <v>28</v>
      </c>
      <c r="B29" s="2">
        <v>28.0</v>
      </c>
      <c r="C29" s="4" t="s">
        <v>149</v>
      </c>
      <c r="D29" s="4" t="s">
        <v>10</v>
      </c>
      <c r="E29" s="4" t="s">
        <v>151</v>
      </c>
      <c r="F29" s="4" t="s">
        <v>152</v>
      </c>
      <c r="G29" s="4" t="s">
        <v>329</v>
      </c>
      <c r="H29" s="4" t="s">
        <v>331</v>
      </c>
      <c r="I29" s="4" t="s">
        <v>34</v>
      </c>
      <c r="K29" s="2">
        <v>16167.0</v>
      </c>
      <c r="L29" s="5">
        <v>46241.037881944445</v>
      </c>
      <c r="M29" s="2" t="b">
        <v>1</v>
      </c>
      <c r="N29" s="2" t="b">
        <v>1</v>
      </c>
      <c r="O29" s="2">
        <v>8.0</v>
      </c>
      <c r="P29" s="2">
        <v>0.6912</v>
      </c>
      <c r="Q29" s="4" t="s">
        <v>335</v>
      </c>
      <c r="R29" s="2" t="s">
        <v>37</v>
      </c>
      <c r="S29" s="2" t="s">
        <v>49</v>
      </c>
    </row>
    <row r="30">
      <c r="A30" s="4" t="s">
        <v>28</v>
      </c>
      <c r="B30" s="2">
        <v>29.0</v>
      </c>
      <c r="C30" s="4" t="s">
        <v>153</v>
      </c>
      <c r="D30" s="4" t="s">
        <v>10</v>
      </c>
      <c r="E30" s="4" t="s">
        <v>154</v>
      </c>
      <c r="F30" s="4" t="s">
        <v>155</v>
      </c>
      <c r="G30" s="4" t="s">
        <v>342</v>
      </c>
      <c r="H30" s="4" t="s">
        <v>344</v>
      </c>
      <c r="I30" s="4" t="s">
        <v>34</v>
      </c>
      <c r="K30" s="2">
        <v>18328.0</v>
      </c>
      <c r="L30" s="5">
        <v>46241.038136574076</v>
      </c>
      <c r="M30" s="2" t="b">
        <v>1</v>
      </c>
      <c r="N30" s="2" t="b">
        <v>1</v>
      </c>
      <c r="O30" s="2">
        <v>8.0</v>
      </c>
      <c r="P30" s="2">
        <v>0.8201</v>
      </c>
      <c r="Q30" s="4" t="s">
        <v>348</v>
      </c>
      <c r="R30" s="2" t="s">
        <v>37</v>
      </c>
      <c r="S30" s="2" t="s">
        <v>49</v>
      </c>
    </row>
    <row r="31">
      <c r="A31" s="4" t="s">
        <v>28</v>
      </c>
      <c r="B31" s="2">
        <v>30.0</v>
      </c>
      <c r="C31" s="4" t="s">
        <v>158</v>
      </c>
      <c r="D31" s="4" t="s">
        <v>10</v>
      </c>
      <c r="E31" s="4" t="s">
        <v>159</v>
      </c>
      <c r="F31" s="4" t="s">
        <v>160</v>
      </c>
      <c r="G31" s="4" t="s">
        <v>353</v>
      </c>
      <c r="H31" s="4" t="s">
        <v>354</v>
      </c>
      <c r="I31" s="4" t="s">
        <v>34</v>
      </c>
      <c r="K31" s="2">
        <v>19311.0</v>
      </c>
      <c r="L31" s="5">
        <v>46241.03839120371</v>
      </c>
      <c r="M31" s="2" t="b">
        <v>1</v>
      </c>
      <c r="N31" s="2" t="b">
        <v>1</v>
      </c>
      <c r="O31" s="2">
        <v>8.0</v>
      </c>
      <c r="P31" s="2">
        <v>0.701</v>
      </c>
      <c r="Q31" s="4" t="s">
        <v>358</v>
      </c>
      <c r="R31" s="2" t="s">
        <v>37</v>
      </c>
      <c r="S31" s="2" t="s">
        <v>49</v>
      </c>
    </row>
    <row r="32">
      <c r="A32" s="4" t="s">
        <v>28</v>
      </c>
      <c r="B32" s="2">
        <v>31.0</v>
      </c>
      <c r="C32" s="4" t="s">
        <v>162</v>
      </c>
      <c r="D32" s="4" t="s">
        <v>10</v>
      </c>
      <c r="E32" s="4" t="s">
        <v>163</v>
      </c>
      <c r="F32" s="4" t="s">
        <v>164</v>
      </c>
      <c r="G32" s="4" t="s">
        <v>365</v>
      </c>
      <c r="H32" s="4" t="s">
        <v>367</v>
      </c>
      <c r="I32" s="4" t="s">
        <v>34</v>
      </c>
      <c r="K32" s="2">
        <v>21418.0</v>
      </c>
      <c r="L32" s="5">
        <v>46241.03869212963</v>
      </c>
      <c r="M32" s="2" t="b">
        <v>1</v>
      </c>
      <c r="N32" s="2" t="b">
        <v>1</v>
      </c>
      <c r="O32" s="2">
        <v>8.0</v>
      </c>
      <c r="P32" s="2">
        <v>0.7653</v>
      </c>
      <c r="Q32" s="4" t="s">
        <v>370</v>
      </c>
      <c r="R32" s="2" t="s">
        <v>37</v>
      </c>
      <c r="S32" s="2" t="s">
        <v>49</v>
      </c>
    </row>
    <row r="33">
      <c r="A33" s="4" t="s">
        <v>28</v>
      </c>
      <c r="B33" s="2">
        <v>32.0</v>
      </c>
      <c r="C33" s="4" t="s">
        <v>165</v>
      </c>
      <c r="D33" s="4" t="s">
        <v>10</v>
      </c>
      <c r="E33" s="4" t="s">
        <v>167</v>
      </c>
      <c r="F33" s="4" t="s">
        <v>169</v>
      </c>
      <c r="G33" s="4" t="s">
        <v>377</v>
      </c>
      <c r="H33" s="4" t="s">
        <v>378</v>
      </c>
      <c r="I33" s="4" t="s">
        <v>34</v>
      </c>
      <c r="K33" s="2">
        <v>14675.0</v>
      </c>
      <c r="L33" s="5">
        <v>46241.03890046296</v>
      </c>
      <c r="M33" s="2" t="b">
        <v>1</v>
      </c>
      <c r="N33" s="2" t="b">
        <v>1</v>
      </c>
      <c r="O33" s="2">
        <v>8.0</v>
      </c>
      <c r="P33" s="2">
        <v>0.8365</v>
      </c>
      <c r="Q33" s="4" t="s">
        <v>383</v>
      </c>
      <c r="R33" s="2" t="s">
        <v>37</v>
      </c>
      <c r="S33" s="2" t="s">
        <v>49</v>
      </c>
    </row>
    <row r="34">
      <c r="A34" s="4" t="s">
        <v>28</v>
      </c>
      <c r="B34" s="2">
        <v>33.0</v>
      </c>
      <c r="C34" s="4" t="s">
        <v>170</v>
      </c>
      <c r="D34" s="4" t="s">
        <v>10</v>
      </c>
      <c r="E34" s="4" t="s">
        <v>172</v>
      </c>
      <c r="F34" s="4" t="s">
        <v>173</v>
      </c>
      <c r="G34" s="4" t="s">
        <v>392</v>
      </c>
      <c r="H34" s="4" t="s">
        <v>393</v>
      </c>
      <c r="I34" s="4" t="s">
        <v>34</v>
      </c>
      <c r="K34" s="2">
        <v>15577.0</v>
      </c>
      <c r="L34" s="5">
        <v>46241.039143518516</v>
      </c>
      <c r="M34" s="2" t="b">
        <v>1</v>
      </c>
      <c r="N34" s="2" t="b">
        <v>1</v>
      </c>
      <c r="O34" s="2">
        <v>8.0</v>
      </c>
      <c r="P34" s="2">
        <v>0.69</v>
      </c>
      <c r="Q34" s="4" t="s">
        <v>398</v>
      </c>
      <c r="R34" s="2" t="s">
        <v>37</v>
      </c>
      <c r="S34" s="2" t="s">
        <v>400</v>
      </c>
    </row>
    <row r="35">
      <c r="A35" s="4" t="s">
        <v>28</v>
      </c>
      <c r="B35" s="2">
        <v>34.0</v>
      </c>
      <c r="C35" s="4" t="s">
        <v>174</v>
      </c>
      <c r="D35" s="4" t="s">
        <v>10</v>
      </c>
      <c r="E35" s="4" t="s">
        <v>175</v>
      </c>
      <c r="F35" s="4" t="s">
        <v>176</v>
      </c>
      <c r="G35" s="4" t="s">
        <v>406</v>
      </c>
      <c r="H35" s="4" t="s">
        <v>407</v>
      </c>
      <c r="I35" s="4" t="s">
        <v>34</v>
      </c>
      <c r="K35" s="2">
        <v>16622.0</v>
      </c>
      <c r="L35" s="5">
        <v>46241.03938657408</v>
      </c>
      <c r="M35" s="2" t="b">
        <v>1</v>
      </c>
      <c r="N35" s="2" t="b">
        <v>1</v>
      </c>
      <c r="O35" s="2">
        <v>8.0</v>
      </c>
      <c r="P35" s="2">
        <v>0.808</v>
      </c>
      <c r="Q35" s="4" t="s">
        <v>411</v>
      </c>
      <c r="R35" s="2" t="s">
        <v>37</v>
      </c>
      <c r="S35" s="2" t="s">
        <v>49</v>
      </c>
    </row>
    <row r="36">
      <c r="A36" s="4" t="s">
        <v>28</v>
      </c>
      <c r="B36" s="2">
        <v>35.0</v>
      </c>
      <c r="C36" s="4" t="s">
        <v>179</v>
      </c>
      <c r="D36" s="4" t="s">
        <v>10</v>
      </c>
      <c r="E36" s="4" t="s">
        <v>180</v>
      </c>
      <c r="F36" s="4" t="s">
        <v>181</v>
      </c>
      <c r="G36" s="4" t="s">
        <v>418</v>
      </c>
      <c r="H36" s="4" t="s">
        <v>420</v>
      </c>
      <c r="I36" s="4" t="s">
        <v>34</v>
      </c>
      <c r="K36" s="2">
        <v>17869.0</v>
      </c>
      <c r="L36" s="5">
        <v>46241.03965277778</v>
      </c>
      <c r="M36" s="2" t="b">
        <v>1</v>
      </c>
      <c r="N36" s="2" t="b">
        <v>1</v>
      </c>
      <c r="O36" s="2">
        <v>8.0</v>
      </c>
      <c r="P36" s="2">
        <v>0.7859</v>
      </c>
      <c r="Q36" s="4" t="s">
        <v>422</v>
      </c>
      <c r="R36" s="2" t="s">
        <v>37</v>
      </c>
      <c r="S36" s="2" t="s">
        <v>49</v>
      </c>
    </row>
    <row r="37">
      <c r="A37" s="4" t="s">
        <v>28</v>
      </c>
      <c r="B37" s="2">
        <v>36.0</v>
      </c>
      <c r="C37" s="4" t="s">
        <v>183</v>
      </c>
      <c r="D37" s="4" t="s">
        <v>10</v>
      </c>
      <c r="E37" s="4" t="s">
        <v>184</v>
      </c>
      <c r="F37" s="4" t="s">
        <v>185</v>
      </c>
      <c r="G37" s="4" t="s">
        <v>434</v>
      </c>
      <c r="H37" s="4" t="s">
        <v>436</v>
      </c>
      <c r="I37" s="4" t="s">
        <v>34</v>
      </c>
      <c r="K37" s="2">
        <v>17184.0</v>
      </c>
      <c r="L37" s="5">
        <v>46241.03989583333</v>
      </c>
      <c r="M37" s="2" t="b">
        <v>1</v>
      </c>
      <c r="N37" s="2" t="b">
        <v>1</v>
      </c>
      <c r="O37" s="2">
        <v>8.0</v>
      </c>
      <c r="P37" s="2">
        <v>0.8209</v>
      </c>
      <c r="Q37" s="4" t="s">
        <v>439</v>
      </c>
      <c r="R37" s="2" t="s">
        <v>37</v>
      </c>
      <c r="S37" s="2" t="s">
        <v>49</v>
      </c>
    </row>
    <row r="38">
      <c r="A38" s="4" t="s">
        <v>28</v>
      </c>
      <c r="B38" s="2">
        <v>37.0</v>
      </c>
      <c r="C38" s="4" t="s">
        <v>187</v>
      </c>
      <c r="D38" s="4" t="s">
        <v>10</v>
      </c>
      <c r="E38" s="4" t="s">
        <v>189</v>
      </c>
      <c r="F38" s="4" t="s">
        <v>191</v>
      </c>
      <c r="G38" s="4" t="s">
        <v>446</v>
      </c>
      <c r="H38" s="4" t="s">
        <v>448</v>
      </c>
      <c r="I38" s="4" t="s">
        <v>34</v>
      </c>
      <c r="K38" s="2">
        <v>16691.0</v>
      </c>
      <c r="L38" s="5">
        <v>46241.040127314816</v>
      </c>
      <c r="M38" s="2" t="b">
        <v>1</v>
      </c>
      <c r="N38" s="2" t="b">
        <v>1</v>
      </c>
      <c r="O38" s="2">
        <v>8.0</v>
      </c>
      <c r="P38" s="2">
        <v>0.6737</v>
      </c>
      <c r="Q38" s="4" t="s">
        <v>452</v>
      </c>
      <c r="R38" s="2" t="s">
        <v>37</v>
      </c>
      <c r="S38" s="2" t="s">
        <v>49</v>
      </c>
    </row>
    <row r="39">
      <c r="A39" s="4" t="s">
        <v>28</v>
      </c>
      <c r="B39" s="2">
        <v>38.0</v>
      </c>
      <c r="C39" s="4" t="s">
        <v>192</v>
      </c>
      <c r="D39" s="4" t="s">
        <v>10</v>
      </c>
      <c r="E39" s="4" t="s">
        <v>194</v>
      </c>
      <c r="F39" s="4" t="s">
        <v>195</v>
      </c>
      <c r="G39" s="4" t="s">
        <v>458</v>
      </c>
      <c r="H39" s="4" t="s">
        <v>460</v>
      </c>
      <c r="I39" s="4" t="s">
        <v>34</v>
      </c>
      <c r="K39" s="2">
        <v>18649.0</v>
      </c>
      <c r="L39" s="5">
        <v>46241.04038194445</v>
      </c>
      <c r="M39" s="2" t="b">
        <v>1</v>
      </c>
      <c r="N39" s="2" t="b">
        <v>1</v>
      </c>
      <c r="O39" s="2">
        <v>8.0</v>
      </c>
      <c r="P39" s="2">
        <v>0.7537</v>
      </c>
      <c r="Q39" s="4" t="s">
        <v>465</v>
      </c>
      <c r="R39" s="2" t="s">
        <v>37</v>
      </c>
      <c r="S39" s="2" t="s">
        <v>49</v>
      </c>
    </row>
    <row r="40">
      <c r="A40" s="4" t="s">
        <v>28</v>
      </c>
      <c r="B40" s="2">
        <v>39.0</v>
      </c>
      <c r="C40" s="4" t="s">
        <v>197</v>
      </c>
      <c r="D40" s="4" t="s">
        <v>10</v>
      </c>
      <c r="E40" s="4" t="s">
        <v>198</v>
      </c>
      <c r="F40" s="4" t="s">
        <v>200</v>
      </c>
      <c r="G40" s="4" t="s">
        <v>471</v>
      </c>
      <c r="H40" s="4" t="s">
        <v>472</v>
      </c>
      <c r="I40" s="4" t="s">
        <v>34</v>
      </c>
      <c r="K40" s="2">
        <v>18610.0</v>
      </c>
      <c r="L40" s="5">
        <v>46241.040625</v>
      </c>
      <c r="M40" s="2" t="b">
        <v>1</v>
      </c>
      <c r="N40" s="2" t="b">
        <v>1</v>
      </c>
      <c r="O40" s="2">
        <v>8.0</v>
      </c>
      <c r="P40" s="2">
        <v>0.7288</v>
      </c>
      <c r="Q40" s="4" t="s">
        <v>476</v>
      </c>
      <c r="R40" s="2" t="s">
        <v>37</v>
      </c>
      <c r="S40" s="2" t="s">
        <v>49</v>
      </c>
    </row>
    <row r="41">
      <c r="A41" s="4" t="s">
        <v>28</v>
      </c>
      <c r="B41" s="2">
        <v>40.0</v>
      </c>
      <c r="C41" s="4" t="s">
        <v>205</v>
      </c>
      <c r="D41" s="4" t="s">
        <v>10</v>
      </c>
      <c r="E41" s="4" t="s">
        <v>207</v>
      </c>
      <c r="F41" s="4" t="s">
        <v>208</v>
      </c>
      <c r="G41" s="4" t="s">
        <v>478</v>
      </c>
      <c r="H41" s="4" t="s">
        <v>479</v>
      </c>
      <c r="I41" s="4" t="s">
        <v>34</v>
      </c>
      <c r="K41" s="2">
        <v>18521.0</v>
      </c>
      <c r="L41" s="5">
        <v>46241.04087962963</v>
      </c>
      <c r="M41" s="2" t="b">
        <v>1</v>
      </c>
      <c r="N41" s="2" t="b">
        <v>1</v>
      </c>
      <c r="O41" s="2">
        <v>8.0</v>
      </c>
      <c r="P41" s="2">
        <v>0.6811</v>
      </c>
      <c r="Q41" s="4" t="s">
        <v>480</v>
      </c>
      <c r="R41" s="2" t="s">
        <v>37</v>
      </c>
      <c r="S41" s="2" t="s">
        <v>49</v>
      </c>
    </row>
    <row r="42">
      <c r="A42" s="4" t="s">
        <v>28</v>
      </c>
      <c r="B42" s="2">
        <v>41.0</v>
      </c>
      <c r="C42" s="4" t="s">
        <v>210</v>
      </c>
      <c r="D42" s="4" t="s">
        <v>10</v>
      </c>
      <c r="E42" s="4" t="s">
        <v>211</v>
      </c>
      <c r="F42" s="4" t="s">
        <v>212</v>
      </c>
      <c r="G42" s="4" t="s">
        <v>482</v>
      </c>
      <c r="H42" s="4" t="s">
        <v>483</v>
      </c>
      <c r="I42" s="4" t="s">
        <v>34</v>
      </c>
      <c r="K42" s="2">
        <v>21595.0</v>
      </c>
      <c r="L42" s="5">
        <v>46241.04116898148</v>
      </c>
      <c r="M42" s="2" t="b">
        <v>1</v>
      </c>
      <c r="N42" s="2" t="b">
        <v>1</v>
      </c>
      <c r="O42" s="2">
        <v>8.0</v>
      </c>
      <c r="P42" s="2">
        <v>0.7729</v>
      </c>
      <c r="Q42" s="4" t="s">
        <v>484</v>
      </c>
      <c r="R42" s="2" t="s">
        <v>37</v>
      </c>
      <c r="S42" s="2" t="s">
        <v>49</v>
      </c>
    </row>
    <row r="43">
      <c r="A43" s="4" t="s">
        <v>28</v>
      </c>
      <c r="B43" s="2">
        <v>42.0</v>
      </c>
      <c r="C43" s="4" t="s">
        <v>213</v>
      </c>
      <c r="D43" s="4" t="s">
        <v>10</v>
      </c>
      <c r="E43" s="4" t="s">
        <v>214</v>
      </c>
      <c r="F43" s="4" t="s">
        <v>216</v>
      </c>
      <c r="G43" s="4" t="s">
        <v>486</v>
      </c>
      <c r="H43" s="4" t="s">
        <v>487</v>
      </c>
      <c r="I43" s="4" t="s">
        <v>34</v>
      </c>
      <c r="K43" s="2">
        <v>15950.0</v>
      </c>
      <c r="L43" s="5">
        <v>46241.041400462964</v>
      </c>
      <c r="M43" s="2" t="b">
        <v>1</v>
      </c>
      <c r="N43" s="2" t="b">
        <v>1</v>
      </c>
      <c r="O43" s="2">
        <v>8.0</v>
      </c>
      <c r="P43" s="2">
        <v>0.7283</v>
      </c>
      <c r="Q43" s="4" t="s">
        <v>488</v>
      </c>
      <c r="R43" s="2" t="s">
        <v>37</v>
      </c>
      <c r="S43" s="2" t="s">
        <v>49</v>
      </c>
    </row>
    <row r="44">
      <c r="A44" s="4" t="s">
        <v>28</v>
      </c>
      <c r="B44" s="2">
        <v>43.0</v>
      </c>
      <c r="C44" s="4" t="s">
        <v>218</v>
      </c>
      <c r="D44" s="4" t="s">
        <v>10</v>
      </c>
      <c r="E44" s="4" t="s">
        <v>219</v>
      </c>
      <c r="F44" s="4" t="s">
        <v>221</v>
      </c>
      <c r="G44" s="4" t="s">
        <v>490</v>
      </c>
      <c r="H44" s="4" t="s">
        <v>491</v>
      </c>
      <c r="I44" s="4" t="s">
        <v>34</v>
      </c>
      <c r="K44" s="2">
        <v>18413.0</v>
      </c>
      <c r="L44" s="5">
        <v>46241.04174768519</v>
      </c>
      <c r="M44" s="2" t="b">
        <v>1</v>
      </c>
      <c r="N44" s="2" t="b">
        <v>1</v>
      </c>
      <c r="O44" s="2">
        <v>8.0</v>
      </c>
      <c r="P44" s="2">
        <v>0.8038</v>
      </c>
      <c r="Q44" s="4" t="s">
        <v>492</v>
      </c>
      <c r="R44" s="2" t="s">
        <v>37</v>
      </c>
      <c r="S44" s="2" t="s">
        <v>67</v>
      </c>
    </row>
    <row r="45">
      <c r="A45" s="4" t="s">
        <v>28</v>
      </c>
      <c r="B45" s="2">
        <v>44.0</v>
      </c>
      <c r="C45" s="4" t="s">
        <v>223</v>
      </c>
      <c r="D45" s="4" t="s">
        <v>10</v>
      </c>
      <c r="E45" s="4" t="s">
        <v>224</v>
      </c>
      <c r="F45" s="4" t="s">
        <v>225</v>
      </c>
      <c r="G45" s="4" t="s">
        <v>494</v>
      </c>
      <c r="H45" s="4" t="s">
        <v>495</v>
      </c>
      <c r="I45" s="4" t="s">
        <v>34</v>
      </c>
      <c r="K45" s="2">
        <v>28391.0</v>
      </c>
      <c r="L45" s="5">
        <v>46241.042129629626</v>
      </c>
      <c r="M45" s="2" t="b">
        <v>1</v>
      </c>
      <c r="N45" s="2" t="b">
        <v>1</v>
      </c>
      <c r="O45" s="2">
        <v>8.0</v>
      </c>
      <c r="P45" s="2">
        <v>0.6591</v>
      </c>
      <c r="Q45" s="4" t="s">
        <v>496</v>
      </c>
      <c r="R45" s="2" t="s">
        <v>37</v>
      </c>
      <c r="S45" s="2" t="s">
        <v>67</v>
      </c>
    </row>
    <row r="46">
      <c r="A46" s="4" t="s">
        <v>28</v>
      </c>
      <c r="B46" s="2">
        <v>45.0</v>
      </c>
      <c r="C46" s="4" t="s">
        <v>226</v>
      </c>
      <c r="D46" s="4" t="s">
        <v>10</v>
      </c>
      <c r="E46" s="4" t="s">
        <v>227</v>
      </c>
      <c r="F46" s="4" t="s">
        <v>229</v>
      </c>
      <c r="G46" s="4" t="s">
        <v>497</v>
      </c>
      <c r="H46" s="4" t="s">
        <v>498</v>
      </c>
      <c r="I46" s="4" t="s">
        <v>34</v>
      </c>
      <c r="K46" s="2">
        <v>20191.0</v>
      </c>
      <c r="L46" s="5">
        <v>46241.04241898148</v>
      </c>
      <c r="M46" s="2" t="b">
        <v>1</v>
      </c>
      <c r="N46" s="2" t="b">
        <v>1</v>
      </c>
      <c r="O46" s="2">
        <v>8.0</v>
      </c>
      <c r="P46" s="2">
        <v>0.7966</v>
      </c>
      <c r="Q46" s="4" t="s">
        <v>500</v>
      </c>
      <c r="R46" s="2" t="s">
        <v>37</v>
      </c>
      <c r="S46" s="2" t="s">
        <v>49</v>
      </c>
    </row>
    <row r="47">
      <c r="A47" s="4" t="s">
        <v>28</v>
      </c>
      <c r="B47" s="2">
        <v>46.0</v>
      </c>
      <c r="C47" s="4" t="s">
        <v>231</v>
      </c>
      <c r="D47" s="4" t="s">
        <v>10</v>
      </c>
      <c r="E47" s="4" t="s">
        <v>232</v>
      </c>
      <c r="F47" s="4" t="s">
        <v>233</v>
      </c>
      <c r="G47" s="4" t="s">
        <v>501</v>
      </c>
      <c r="H47" s="4" t="s">
        <v>502</v>
      </c>
      <c r="I47" s="4" t="s">
        <v>34</v>
      </c>
      <c r="K47" s="2">
        <v>17668.0</v>
      </c>
      <c r="L47" s="5">
        <v>46241.04268518519</v>
      </c>
      <c r="M47" s="2" t="b">
        <v>1</v>
      </c>
      <c r="N47" s="2" t="b">
        <v>1</v>
      </c>
      <c r="O47" s="2">
        <v>8.0</v>
      </c>
      <c r="P47" s="2">
        <v>0.6262</v>
      </c>
      <c r="Q47" s="4" t="s">
        <v>503</v>
      </c>
      <c r="R47" s="2" t="s">
        <v>37</v>
      </c>
      <c r="S47" s="2" t="s">
        <v>49</v>
      </c>
    </row>
    <row r="48">
      <c r="A48" s="4" t="s">
        <v>28</v>
      </c>
      <c r="B48" s="2">
        <v>47.0</v>
      </c>
      <c r="C48" s="4" t="s">
        <v>236</v>
      </c>
      <c r="D48" s="4" t="s">
        <v>10</v>
      </c>
      <c r="E48" s="4" t="s">
        <v>237</v>
      </c>
      <c r="F48" s="4" t="s">
        <v>238</v>
      </c>
      <c r="G48" s="4" t="s">
        <v>505</v>
      </c>
      <c r="H48" s="4" t="s">
        <v>506</v>
      </c>
      <c r="I48" s="4" t="s">
        <v>34</v>
      </c>
      <c r="K48" s="2">
        <v>20150.0</v>
      </c>
      <c r="L48" s="5">
        <v>46241.04298611111</v>
      </c>
      <c r="M48" s="2" t="b">
        <v>1</v>
      </c>
      <c r="N48" s="2" t="b">
        <v>1</v>
      </c>
      <c r="O48" s="2">
        <v>8.0</v>
      </c>
      <c r="P48" s="2">
        <v>0.799</v>
      </c>
      <c r="Q48" s="4" t="s">
        <v>507</v>
      </c>
      <c r="R48" s="2" t="s">
        <v>37</v>
      </c>
      <c r="S48" s="2" t="s">
        <v>49</v>
      </c>
    </row>
    <row r="49">
      <c r="A49" s="4" t="s">
        <v>28</v>
      </c>
      <c r="B49" s="2">
        <v>48.0</v>
      </c>
      <c r="C49" s="4" t="s">
        <v>239</v>
      </c>
      <c r="D49" s="4" t="s">
        <v>10</v>
      </c>
      <c r="E49" s="4" t="s">
        <v>241</v>
      </c>
      <c r="F49" s="4" t="s">
        <v>243</v>
      </c>
      <c r="G49" s="4" t="s">
        <v>509</v>
      </c>
      <c r="H49" s="4" t="s">
        <v>511</v>
      </c>
      <c r="I49" s="4" t="s">
        <v>34</v>
      </c>
      <c r="K49" s="2">
        <v>18502.0</v>
      </c>
      <c r="L49" s="5">
        <v>46241.04326388889</v>
      </c>
      <c r="M49" s="2" t="b">
        <v>1</v>
      </c>
      <c r="N49" s="2" t="b">
        <v>1</v>
      </c>
      <c r="O49" s="2">
        <v>8.0</v>
      </c>
      <c r="P49" s="2">
        <v>0.6625</v>
      </c>
      <c r="Q49" s="4" t="s">
        <v>513</v>
      </c>
      <c r="R49" s="2" t="s">
        <v>37</v>
      </c>
      <c r="S49" s="2" t="s">
        <v>49</v>
      </c>
    </row>
    <row r="50">
      <c r="A50" s="4" t="s">
        <v>28</v>
      </c>
      <c r="B50" s="2">
        <v>49.0</v>
      </c>
      <c r="C50" s="4" t="s">
        <v>245</v>
      </c>
      <c r="D50" s="4" t="s">
        <v>10</v>
      </c>
      <c r="E50" s="4" t="s">
        <v>246</v>
      </c>
      <c r="F50" s="4" t="s">
        <v>248</v>
      </c>
      <c r="G50" s="4" t="s">
        <v>514</v>
      </c>
      <c r="H50" s="4" t="s">
        <v>515</v>
      </c>
      <c r="I50" s="4" t="s">
        <v>34</v>
      </c>
      <c r="K50" s="2">
        <v>17225.0</v>
      </c>
      <c r="L50" s="5">
        <v>46241.04350694444</v>
      </c>
      <c r="M50" s="2" t="b">
        <v>1</v>
      </c>
      <c r="N50" s="2" t="b">
        <v>1</v>
      </c>
      <c r="O50" s="2">
        <v>8.0</v>
      </c>
      <c r="P50" s="2">
        <v>0.6609</v>
      </c>
      <c r="Q50" s="4" t="s">
        <v>517</v>
      </c>
      <c r="R50" s="2" t="s">
        <v>37</v>
      </c>
      <c r="S50" s="2" t="s">
        <v>49</v>
      </c>
    </row>
    <row r="51">
      <c r="A51" s="4" t="s">
        <v>28</v>
      </c>
      <c r="B51" s="2">
        <v>50.0</v>
      </c>
      <c r="C51" s="4" t="s">
        <v>249</v>
      </c>
      <c r="D51" s="4" t="s">
        <v>10</v>
      </c>
      <c r="E51" s="4" t="s">
        <v>250</v>
      </c>
      <c r="F51" s="4" t="s">
        <v>251</v>
      </c>
      <c r="G51" s="4" t="s">
        <v>518</v>
      </c>
      <c r="H51" s="4" t="s">
        <v>519</v>
      </c>
      <c r="I51" s="4" t="s">
        <v>34</v>
      </c>
      <c r="K51" s="2">
        <v>21327.0</v>
      </c>
      <c r="L51" s="5">
        <v>46241.0437962963</v>
      </c>
      <c r="M51" s="2" t="b">
        <v>1</v>
      </c>
      <c r="N51" s="2" t="b">
        <v>1</v>
      </c>
      <c r="O51" s="2">
        <v>8.0</v>
      </c>
      <c r="P51" s="2">
        <v>0.8064</v>
      </c>
      <c r="Q51" s="4" t="s">
        <v>521</v>
      </c>
      <c r="R51" s="2" t="s">
        <v>37</v>
      </c>
      <c r="S51" s="2" t="s">
        <v>49</v>
      </c>
    </row>
    <row r="52">
      <c r="A52" s="4" t="s">
        <v>28</v>
      </c>
      <c r="B52" s="2">
        <v>51.0</v>
      </c>
      <c r="C52" s="4" t="s">
        <v>254</v>
      </c>
      <c r="D52" s="4" t="s">
        <v>256</v>
      </c>
      <c r="E52" s="4" t="s">
        <v>257</v>
      </c>
      <c r="F52" s="4" t="s">
        <v>258</v>
      </c>
      <c r="G52" s="4" t="s">
        <v>522</v>
      </c>
      <c r="H52" s="4" t="s">
        <v>523</v>
      </c>
      <c r="I52" s="4" t="s">
        <v>34</v>
      </c>
      <c r="K52" s="2">
        <v>12374.0</v>
      </c>
      <c r="L52" s="5">
        <v>46241.04398148148</v>
      </c>
      <c r="M52" s="2" t="b">
        <v>1</v>
      </c>
      <c r="N52" s="2" t="b">
        <v>0</v>
      </c>
      <c r="O52" s="2">
        <v>0.0</v>
      </c>
      <c r="P52" s="2">
        <v>0.0</v>
      </c>
      <c r="R52" s="2" t="s">
        <v>252</v>
      </c>
      <c r="S52" s="2" t="s">
        <v>525</v>
      </c>
    </row>
    <row r="53">
      <c r="A53" s="4" t="s">
        <v>28</v>
      </c>
      <c r="B53" s="2">
        <v>52.0</v>
      </c>
      <c r="C53" s="4" t="s">
        <v>259</v>
      </c>
      <c r="D53" s="4" t="s">
        <v>256</v>
      </c>
      <c r="E53" s="4" t="s">
        <v>260</v>
      </c>
      <c r="F53" s="4" t="s">
        <v>262</v>
      </c>
      <c r="G53" s="4" t="s">
        <v>526</v>
      </c>
      <c r="H53" s="4" t="s">
        <v>527</v>
      </c>
      <c r="I53" s="4" t="s">
        <v>34</v>
      </c>
      <c r="K53" s="2">
        <v>14107.0</v>
      </c>
      <c r="L53" s="5">
        <v>46241.04417824074</v>
      </c>
      <c r="M53" s="2" t="b">
        <v>1</v>
      </c>
      <c r="N53" s="2" t="b">
        <v>0</v>
      </c>
      <c r="O53" s="2">
        <v>0.0</v>
      </c>
      <c r="P53" s="2">
        <v>0.0</v>
      </c>
      <c r="R53" s="2" t="s">
        <v>252</v>
      </c>
      <c r="S53" s="2" t="s">
        <v>525</v>
      </c>
    </row>
    <row r="54">
      <c r="A54" s="4" t="s">
        <v>28</v>
      </c>
      <c r="B54" s="2">
        <v>53.0</v>
      </c>
      <c r="C54" s="4" t="s">
        <v>263</v>
      </c>
      <c r="D54" s="4" t="s">
        <v>256</v>
      </c>
      <c r="E54" s="4" t="s">
        <v>264</v>
      </c>
      <c r="F54" s="4" t="s">
        <v>265</v>
      </c>
      <c r="G54" s="4" t="s">
        <v>529</v>
      </c>
      <c r="H54" s="4" t="s">
        <v>530</v>
      </c>
      <c r="I54" s="4" t="s">
        <v>34</v>
      </c>
      <c r="K54" s="2">
        <v>12436.0</v>
      </c>
      <c r="L54" s="5">
        <v>46241.044375</v>
      </c>
      <c r="M54" s="2" t="b">
        <v>1</v>
      </c>
      <c r="N54" s="2" t="b">
        <v>0</v>
      </c>
      <c r="O54" s="2">
        <v>0.0</v>
      </c>
      <c r="P54" s="2">
        <v>0.0</v>
      </c>
      <c r="R54" s="2" t="s">
        <v>252</v>
      </c>
      <c r="S54" s="2" t="s">
        <v>525</v>
      </c>
    </row>
    <row r="55">
      <c r="A55" s="4" t="s">
        <v>28</v>
      </c>
      <c r="B55" s="2">
        <v>54.0</v>
      </c>
      <c r="C55" s="4" t="s">
        <v>266</v>
      </c>
      <c r="D55" s="4" t="s">
        <v>256</v>
      </c>
      <c r="E55" s="4" t="s">
        <v>267</v>
      </c>
      <c r="F55" s="4" t="s">
        <v>268</v>
      </c>
      <c r="G55" s="4" t="s">
        <v>531</v>
      </c>
      <c r="H55" s="4" t="s">
        <v>533</v>
      </c>
      <c r="I55" s="4" t="s">
        <v>34</v>
      </c>
      <c r="K55" s="2">
        <v>13045.0</v>
      </c>
      <c r="L55" s="5">
        <v>46241.04456018518</v>
      </c>
      <c r="M55" s="2" t="b">
        <v>1</v>
      </c>
      <c r="N55" s="2" t="b">
        <v>0</v>
      </c>
      <c r="O55" s="2">
        <v>0.0</v>
      </c>
      <c r="P55" s="2">
        <v>0.0</v>
      </c>
      <c r="R55" s="2" t="s">
        <v>252</v>
      </c>
      <c r="S55" s="2" t="s">
        <v>525</v>
      </c>
    </row>
    <row r="56">
      <c r="A56" s="4" t="s">
        <v>28</v>
      </c>
      <c r="B56" s="2">
        <v>55.0</v>
      </c>
      <c r="C56" s="4" t="s">
        <v>271</v>
      </c>
      <c r="D56" s="4" t="s">
        <v>256</v>
      </c>
      <c r="E56" s="4" t="s">
        <v>273</v>
      </c>
      <c r="F56" s="4" t="s">
        <v>274</v>
      </c>
      <c r="G56" s="4" t="s">
        <v>534</v>
      </c>
      <c r="H56" s="4" t="s">
        <v>535</v>
      </c>
      <c r="I56" s="4" t="s">
        <v>34</v>
      </c>
      <c r="K56" s="2">
        <v>13612.0</v>
      </c>
      <c r="L56" s="5">
        <v>46241.044756944444</v>
      </c>
      <c r="M56" s="2" t="b">
        <v>1</v>
      </c>
      <c r="N56" s="2" t="b">
        <v>0</v>
      </c>
      <c r="O56" s="2">
        <v>0.0</v>
      </c>
      <c r="P56" s="2">
        <v>0.0</v>
      </c>
      <c r="R56" s="2" t="s">
        <v>252</v>
      </c>
      <c r="S56" s="2" t="s">
        <v>525</v>
      </c>
    </row>
    <row r="57">
      <c r="A57" s="4" t="s">
        <v>28</v>
      </c>
      <c r="B57" s="2">
        <v>56.0</v>
      </c>
      <c r="C57" s="4" t="s">
        <v>276</v>
      </c>
      <c r="D57" s="4" t="s">
        <v>256</v>
      </c>
      <c r="E57" s="4" t="s">
        <v>277</v>
      </c>
      <c r="F57" s="4" t="s">
        <v>278</v>
      </c>
      <c r="G57" s="4" t="s">
        <v>539</v>
      </c>
      <c r="H57" s="4" t="s">
        <v>540</v>
      </c>
      <c r="I57" s="4" t="s">
        <v>34</v>
      </c>
      <c r="K57" s="2">
        <v>12815.0</v>
      </c>
      <c r="L57" s="5">
        <v>46241.04494212963</v>
      </c>
      <c r="M57" s="2" t="b">
        <v>1</v>
      </c>
      <c r="N57" s="2" t="b">
        <v>0</v>
      </c>
      <c r="O57" s="2">
        <v>0.0</v>
      </c>
      <c r="P57" s="2">
        <v>0.0</v>
      </c>
      <c r="R57" s="2" t="s">
        <v>252</v>
      </c>
      <c r="S57" s="2" t="s">
        <v>525</v>
      </c>
    </row>
    <row r="58">
      <c r="A58" s="4" t="s">
        <v>28</v>
      </c>
      <c r="B58" s="2">
        <v>57.0</v>
      </c>
      <c r="C58" s="4" t="s">
        <v>281</v>
      </c>
      <c r="D58" s="4" t="s">
        <v>256</v>
      </c>
      <c r="E58" s="4" t="s">
        <v>283</v>
      </c>
      <c r="F58" s="4" t="s">
        <v>284</v>
      </c>
      <c r="G58" s="4" t="s">
        <v>544</v>
      </c>
      <c r="H58" s="4" t="s">
        <v>545</v>
      </c>
      <c r="I58" s="4" t="s">
        <v>34</v>
      </c>
      <c r="K58" s="2">
        <v>13495.0</v>
      </c>
      <c r="L58" s="5">
        <v>46241.04515046296</v>
      </c>
      <c r="M58" s="2" t="b">
        <v>1</v>
      </c>
      <c r="N58" s="2" t="b">
        <v>0</v>
      </c>
      <c r="O58" s="2">
        <v>0.0</v>
      </c>
      <c r="P58" s="2">
        <v>0.0</v>
      </c>
      <c r="R58" s="2" t="s">
        <v>252</v>
      </c>
      <c r="S58" s="2" t="s">
        <v>525</v>
      </c>
    </row>
    <row r="59">
      <c r="A59" s="4" t="s">
        <v>28</v>
      </c>
      <c r="B59" s="2">
        <v>58.0</v>
      </c>
      <c r="C59" s="4" t="s">
        <v>286</v>
      </c>
      <c r="D59" s="4" t="s">
        <v>256</v>
      </c>
      <c r="E59" s="4" t="s">
        <v>287</v>
      </c>
      <c r="F59" s="4" t="s">
        <v>288</v>
      </c>
      <c r="G59" s="4" t="s">
        <v>546</v>
      </c>
      <c r="H59" s="4" t="s">
        <v>547</v>
      </c>
      <c r="I59" s="4" t="s">
        <v>34</v>
      </c>
      <c r="K59" s="2">
        <v>14988.0</v>
      </c>
      <c r="L59" s="5">
        <v>46241.04537037037</v>
      </c>
      <c r="M59" s="2" t="b">
        <v>1</v>
      </c>
      <c r="N59" s="2" t="b">
        <v>0</v>
      </c>
      <c r="O59" s="2">
        <v>0.0</v>
      </c>
      <c r="P59" s="2">
        <v>0.0</v>
      </c>
      <c r="R59" s="2" t="s">
        <v>252</v>
      </c>
      <c r="S59" s="2" t="s">
        <v>525</v>
      </c>
    </row>
    <row r="60">
      <c r="A60" s="4" t="s">
        <v>28</v>
      </c>
      <c r="B60" s="2">
        <v>59.0</v>
      </c>
      <c r="C60" s="4" t="s">
        <v>289</v>
      </c>
      <c r="D60" s="4" t="s">
        <v>256</v>
      </c>
      <c r="E60" s="4" t="s">
        <v>290</v>
      </c>
      <c r="F60" s="4" t="s">
        <v>291</v>
      </c>
      <c r="G60" s="4" t="s">
        <v>548</v>
      </c>
      <c r="H60" s="4" t="s">
        <v>549</v>
      </c>
      <c r="I60" s="4" t="s">
        <v>34</v>
      </c>
      <c r="K60" s="2">
        <v>16551.0</v>
      </c>
      <c r="L60" s="5">
        <v>46241.045590277776</v>
      </c>
      <c r="M60" s="2" t="b">
        <v>1</v>
      </c>
      <c r="N60" s="2" t="b">
        <v>0</v>
      </c>
      <c r="O60" s="2">
        <v>0.0</v>
      </c>
      <c r="P60" s="2">
        <v>0.0</v>
      </c>
      <c r="R60" s="2" t="s">
        <v>252</v>
      </c>
      <c r="S60" s="2" t="s">
        <v>525</v>
      </c>
    </row>
    <row r="61">
      <c r="A61" s="4" t="s">
        <v>28</v>
      </c>
      <c r="B61" s="2">
        <v>60.0</v>
      </c>
      <c r="C61" s="4" t="s">
        <v>294</v>
      </c>
      <c r="D61" s="4" t="s">
        <v>256</v>
      </c>
      <c r="E61" s="4" t="s">
        <v>296</v>
      </c>
      <c r="F61" s="4" t="s">
        <v>297</v>
      </c>
      <c r="G61" s="4" t="s">
        <v>550</v>
      </c>
      <c r="H61" s="4" t="s">
        <v>551</v>
      </c>
      <c r="I61" s="4" t="s">
        <v>34</v>
      </c>
      <c r="K61" s="2">
        <v>17380.0</v>
      </c>
      <c r="L61" s="5">
        <v>46241.04583333333</v>
      </c>
      <c r="M61" s="2" t="b">
        <v>1</v>
      </c>
      <c r="N61" s="2" t="b">
        <v>0</v>
      </c>
      <c r="O61" s="2">
        <v>0.0</v>
      </c>
      <c r="P61" s="2">
        <v>0.0</v>
      </c>
      <c r="R61" s="2" t="s">
        <v>252</v>
      </c>
      <c r="S61" s="2" t="s">
        <v>525</v>
      </c>
    </row>
    <row r="62">
      <c r="A62" s="4" t="s">
        <v>28</v>
      </c>
      <c r="B62" s="2">
        <v>61.0</v>
      </c>
      <c r="C62" s="4" t="s">
        <v>298</v>
      </c>
      <c r="D62" s="4" t="s">
        <v>256</v>
      </c>
      <c r="E62" s="4" t="s">
        <v>300</v>
      </c>
      <c r="F62" s="4" t="s">
        <v>301</v>
      </c>
      <c r="G62" s="4" t="s">
        <v>552</v>
      </c>
      <c r="H62" s="4" t="s">
        <v>553</v>
      </c>
      <c r="I62" s="4" t="s">
        <v>34</v>
      </c>
      <c r="K62" s="2">
        <v>18145.0</v>
      </c>
      <c r="L62" s="5">
        <v>46241.04608796296</v>
      </c>
      <c r="M62" s="2" t="b">
        <v>1</v>
      </c>
      <c r="N62" s="2" t="b">
        <v>0</v>
      </c>
      <c r="O62" s="2">
        <v>0.0</v>
      </c>
      <c r="P62" s="2">
        <v>0.0</v>
      </c>
      <c r="R62" s="2" t="s">
        <v>252</v>
      </c>
      <c r="S62" s="2" t="s">
        <v>525</v>
      </c>
    </row>
    <row r="63">
      <c r="A63" s="4" t="s">
        <v>28</v>
      </c>
      <c r="B63" s="2">
        <v>62.0</v>
      </c>
      <c r="C63" s="4" t="s">
        <v>303</v>
      </c>
      <c r="D63" s="4" t="s">
        <v>256</v>
      </c>
      <c r="E63" s="4" t="s">
        <v>304</v>
      </c>
      <c r="F63" s="4" t="s">
        <v>305</v>
      </c>
      <c r="G63" s="4" t="s">
        <v>554</v>
      </c>
      <c r="H63" s="4" t="s">
        <v>555</v>
      </c>
      <c r="I63" s="4" t="s">
        <v>34</v>
      </c>
      <c r="K63" s="2">
        <v>17529.0</v>
      </c>
      <c r="L63" s="5">
        <v>46241.046331018515</v>
      </c>
      <c r="M63" s="2" t="b">
        <v>1</v>
      </c>
      <c r="N63" s="2" t="b">
        <v>0</v>
      </c>
      <c r="O63" s="2">
        <v>0.0</v>
      </c>
      <c r="P63" s="2">
        <v>0.0</v>
      </c>
      <c r="R63" s="2" t="s">
        <v>252</v>
      </c>
      <c r="S63" s="2" t="s">
        <v>525</v>
      </c>
    </row>
    <row r="64">
      <c r="A64" s="4" t="s">
        <v>28</v>
      </c>
      <c r="B64" s="2">
        <v>63.0</v>
      </c>
      <c r="C64" s="4" t="s">
        <v>308</v>
      </c>
      <c r="D64" s="4" t="s">
        <v>256</v>
      </c>
      <c r="E64" s="4" t="s">
        <v>309</v>
      </c>
      <c r="F64" s="4" t="s">
        <v>310</v>
      </c>
      <c r="G64" s="4" t="s">
        <v>556</v>
      </c>
      <c r="H64" s="4" t="s">
        <v>557</v>
      </c>
      <c r="I64" s="4" t="s">
        <v>34</v>
      </c>
      <c r="K64" s="2">
        <v>16304.0</v>
      </c>
      <c r="L64" s="5">
        <v>46241.0465625</v>
      </c>
      <c r="M64" s="2" t="b">
        <v>1</v>
      </c>
      <c r="N64" s="2" t="b">
        <v>0</v>
      </c>
      <c r="O64" s="2">
        <v>0.0</v>
      </c>
      <c r="P64" s="2">
        <v>0.0</v>
      </c>
      <c r="R64" s="2" t="s">
        <v>252</v>
      </c>
      <c r="S64" s="2" t="s">
        <v>525</v>
      </c>
    </row>
    <row r="65">
      <c r="A65" s="4" t="s">
        <v>28</v>
      </c>
      <c r="B65" s="2">
        <v>64.0</v>
      </c>
      <c r="C65" s="4" t="s">
        <v>311</v>
      </c>
      <c r="D65" s="4" t="s">
        <v>256</v>
      </c>
      <c r="E65" s="4" t="s">
        <v>313</v>
      </c>
      <c r="F65" s="4" t="s">
        <v>314</v>
      </c>
      <c r="G65" s="4" t="s">
        <v>558</v>
      </c>
      <c r="H65" s="4" t="s">
        <v>559</v>
      </c>
      <c r="I65" s="4" t="s">
        <v>34</v>
      </c>
      <c r="K65" s="2">
        <v>17068.0</v>
      </c>
      <c r="L65" s="5">
        <v>46241.046805555554</v>
      </c>
      <c r="M65" s="2" t="b">
        <v>1</v>
      </c>
      <c r="N65" s="2" t="b">
        <v>0</v>
      </c>
      <c r="O65" s="2">
        <v>0.0</v>
      </c>
      <c r="P65" s="2">
        <v>0.0</v>
      </c>
      <c r="R65" s="2" t="s">
        <v>252</v>
      </c>
      <c r="S65" s="2" t="s">
        <v>525</v>
      </c>
    </row>
    <row r="66">
      <c r="A66" s="4" t="s">
        <v>28</v>
      </c>
      <c r="B66" s="2">
        <v>65.0</v>
      </c>
      <c r="C66" s="4" t="s">
        <v>316</v>
      </c>
      <c r="D66" s="4" t="s">
        <v>256</v>
      </c>
      <c r="E66" s="4" t="s">
        <v>317</v>
      </c>
      <c r="F66" s="4" t="s">
        <v>318</v>
      </c>
      <c r="G66" s="4" t="s">
        <v>560</v>
      </c>
      <c r="H66" s="4" t="s">
        <v>561</v>
      </c>
      <c r="I66" s="4" t="s">
        <v>34</v>
      </c>
      <c r="K66" s="2">
        <v>13073.0</v>
      </c>
      <c r="L66" s="5">
        <v>46241.04699074074</v>
      </c>
      <c r="M66" s="2" t="b">
        <v>1</v>
      </c>
      <c r="N66" s="2" t="b">
        <v>0</v>
      </c>
      <c r="O66" s="2">
        <v>0.0</v>
      </c>
      <c r="P66" s="2">
        <v>0.0</v>
      </c>
      <c r="R66" s="2" t="s">
        <v>252</v>
      </c>
      <c r="S66" s="2" t="s">
        <v>525</v>
      </c>
    </row>
    <row r="67">
      <c r="A67" s="4" t="s">
        <v>28</v>
      </c>
      <c r="B67" s="2">
        <v>66.0</v>
      </c>
      <c r="C67" s="4" t="s">
        <v>321</v>
      </c>
      <c r="D67" s="4" t="s">
        <v>256</v>
      </c>
      <c r="E67" s="4" t="s">
        <v>322</v>
      </c>
      <c r="F67" s="4" t="s">
        <v>323</v>
      </c>
      <c r="G67" s="4" t="s">
        <v>562</v>
      </c>
      <c r="H67" s="4" t="s">
        <v>563</v>
      </c>
      <c r="I67" s="4" t="s">
        <v>34</v>
      </c>
      <c r="K67" s="2">
        <v>14643.0</v>
      </c>
      <c r="L67" s="5">
        <v>46241.04719907408</v>
      </c>
      <c r="M67" s="2" t="b">
        <v>1</v>
      </c>
      <c r="N67" s="2" t="b">
        <v>0</v>
      </c>
      <c r="O67" s="2">
        <v>0.0</v>
      </c>
      <c r="P67" s="2">
        <v>0.0</v>
      </c>
      <c r="R67" s="2" t="s">
        <v>252</v>
      </c>
      <c r="S67" s="2" t="s">
        <v>525</v>
      </c>
    </row>
    <row r="68">
      <c r="A68" s="4" t="s">
        <v>28</v>
      </c>
      <c r="B68" s="2">
        <v>67.0</v>
      </c>
      <c r="C68" s="4" t="s">
        <v>326</v>
      </c>
      <c r="D68" s="4" t="s">
        <v>256</v>
      </c>
      <c r="E68" s="4" t="s">
        <v>327</v>
      </c>
      <c r="F68" s="4" t="s">
        <v>328</v>
      </c>
      <c r="G68" s="4" t="s">
        <v>564</v>
      </c>
      <c r="H68" s="4" t="s">
        <v>565</v>
      </c>
      <c r="I68" s="4" t="s">
        <v>34</v>
      </c>
      <c r="K68" s="2">
        <v>14182.0</v>
      </c>
      <c r="L68" s="5">
        <v>46241.04740740741</v>
      </c>
      <c r="M68" s="2" t="b">
        <v>1</v>
      </c>
      <c r="N68" s="2" t="b">
        <v>0</v>
      </c>
      <c r="O68" s="2">
        <v>0.0</v>
      </c>
      <c r="P68" s="2">
        <v>0.0</v>
      </c>
      <c r="R68" s="2" t="s">
        <v>252</v>
      </c>
      <c r="S68" s="2" t="s">
        <v>525</v>
      </c>
    </row>
    <row r="69">
      <c r="A69" s="4" t="s">
        <v>28</v>
      </c>
      <c r="B69" s="2">
        <v>68.0</v>
      </c>
      <c r="C69" s="4" t="s">
        <v>330</v>
      </c>
      <c r="D69" s="4" t="s">
        <v>256</v>
      </c>
      <c r="E69" s="4" t="s">
        <v>332</v>
      </c>
      <c r="F69" s="4" t="s">
        <v>333</v>
      </c>
      <c r="G69" s="4" t="s">
        <v>566</v>
      </c>
      <c r="H69" s="4" t="s">
        <v>567</v>
      </c>
      <c r="I69" s="4" t="s">
        <v>34</v>
      </c>
      <c r="K69" s="2">
        <v>14513.0</v>
      </c>
      <c r="L69" s="5">
        <v>46241.04760416667</v>
      </c>
      <c r="M69" s="2" t="b">
        <v>1</v>
      </c>
      <c r="N69" s="2" t="b">
        <v>0</v>
      </c>
      <c r="O69" s="2">
        <v>0.0</v>
      </c>
      <c r="P69" s="2">
        <v>0.0</v>
      </c>
      <c r="R69" s="2" t="s">
        <v>252</v>
      </c>
      <c r="S69" s="2" t="s">
        <v>525</v>
      </c>
    </row>
    <row r="70">
      <c r="A70" s="4" t="s">
        <v>28</v>
      </c>
      <c r="B70" s="2">
        <v>69.0</v>
      </c>
      <c r="C70" s="4" t="s">
        <v>336</v>
      </c>
      <c r="D70" s="4" t="s">
        <v>256</v>
      </c>
      <c r="E70" s="4" t="s">
        <v>337</v>
      </c>
      <c r="F70" s="4" t="s">
        <v>338</v>
      </c>
      <c r="G70" s="4" t="s">
        <v>568</v>
      </c>
      <c r="H70" s="4" t="s">
        <v>569</v>
      </c>
      <c r="I70" s="4" t="s">
        <v>34</v>
      </c>
      <c r="K70" s="2">
        <v>13479.0</v>
      </c>
      <c r="L70" s="5">
        <v>46241.047800925924</v>
      </c>
      <c r="M70" s="2" t="b">
        <v>1</v>
      </c>
      <c r="N70" s="2" t="b">
        <v>0</v>
      </c>
      <c r="O70" s="2">
        <v>0.0</v>
      </c>
      <c r="P70" s="2">
        <v>0.0</v>
      </c>
      <c r="R70" s="2" t="s">
        <v>252</v>
      </c>
      <c r="S70" s="2" t="s">
        <v>525</v>
      </c>
    </row>
    <row r="71">
      <c r="A71" s="4" t="s">
        <v>28</v>
      </c>
      <c r="B71" s="2">
        <v>70.0</v>
      </c>
      <c r="C71" s="4" t="s">
        <v>339</v>
      </c>
      <c r="D71" s="4" t="s">
        <v>256</v>
      </c>
      <c r="E71" s="4" t="s">
        <v>340</v>
      </c>
      <c r="F71" s="4" t="s">
        <v>341</v>
      </c>
      <c r="G71" s="4" t="s">
        <v>570</v>
      </c>
      <c r="H71" s="4" t="s">
        <v>571</v>
      </c>
      <c r="I71" s="4" t="s">
        <v>34</v>
      </c>
      <c r="K71" s="2">
        <v>14340.0</v>
      </c>
      <c r="L71" s="5">
        <v>46241.047997685186</v>
      </c>
      <c r="M71" s="2" t="b">
        <v>1</v>
      </c>
      <c r="N71" s="2" t="b">
        <v>0</v>
      </c>
      <c r="O71" s="2">
        <v>0.0</v>
      </c>
      <c r="P71" s="2">
        <v>0.0</v>
      </c>
      <c r="R71" s="2" t="s">
        <v>252</v>
      </c>
      <c r="S71" s="2" t="s">
        <v>525</v>
      </c>
    </row>
    <row r="72">
      <c r="A72" s="4" t="s">
        <v>28</v>
      </c>
      <c r="B72" s="2">
        <v>71.0</v>
      </c>
      <c r="C72" s="4" t="s">
        <v>345</v>
      </c>
      <c r="D72" s="4" t="s">
        <v>256</v>
      </c>
      <c r="E72" s="4" t="s">
        <v>346</v>
      </c>
      <c r="F72" s="4" t="s">
        <v>347</v>
      </c>
      <c r="G72" s="4" t="s">
        <v>572</v>
      </c>
      <c r="H72" s="4" t="s">
        <v>573</v>
      </c>
      <c r="I72" s="4" t="s">
        <v>34</v>
      </c>
      <c r="K72" s="2">
        <v>15856.0</v>
      </c>
      <c r="L72" s="5">
        <v>46241.04822916666</v>
      </c>
      <c r="M72" s="2" t="b">
        <v>1</v>
      </c>
      <c r="N72" s="2" t="b">
        <v>0</v>
      </c>
      <c r="O72" s="2">
        <v>0.0</v>
      </c>
      <c r="P72" s="2">
        <v>0.0</v>
      </c>
      <c r="R72" s="2" t="s">
        <v>252</v>
      </c>
      <c r="S72" s="2" t="s">
        <v>525</v>
      </c>
    </row>
    <row r="73">
      <c r="A73" s="4" t="s">
        <v>28</v>
      </c>
      <c r="B73" s="2">
        <v>72.0</v>
      </c>
      <c r="C73" s="4" t="s">
        <v>349</v>
      </c>
      <c r="D73" s="4" t="s">
        <v>256</v>
      </c>
      <c r="E73" s="4" t="s">
        <v>350</v>
      </c>
      <c r="F73" s="4" t="s">
        <v>351</v>
      </c>
      <c r="G73" s="4" t="s">
        <v>574</v>
      </c>
      <c r="H73" s="4" t="s">
        <v>575</v>
      </c>
      <c r="I73" s="4" t="s">
        <v>34</v>
      </c>
      <c r="K73" s="2">
        <v>15634.0</v>
      </c>
      <c r="L73" s="5">
        <v>46241.048472222225</v>
      </c>
      <c r="M73" s="2" t="b">
        <v>1</v>
      </c>
      <c r="N73" s="2" t="b">
        <v>0</v>
      </c>
      <c r="O73" s="2">
        <v>0.0</v>
      </c>
      <c r="P73" s="2">
        <v>0.0</v>
      </c>
      <c r="R73" s="2" t="s">
        <v>252</v>
      </c>
      <c r="S73" s="2" t="s">
        <v>525</v>
      </c>
    </row>
    <row r="74">
      <c r="A74" s="4" t="s">
        <v>28</v>
      </c>
      <c r="B74" s="2">
        <v>73.0</v>
      </c>
      <c r="C74" s="4" t="s">
        <v>352</v>
      </c>
      <c r="D74" s="4" t="s">
        <v>256</v>
      </c>
      <c r="E74" s="4" t="s">
        <v>355</v>
      </c>
      <c r="F74" s="4" t="s">
        <v>356</v>
      </c>
      <c r="G74" s="4" t="s">
        <v>576</v>
      </c>
      <c r="H74" s="4" t="s">
        <v>577</v>
      </c>
      <c r="I74" s="4" t="s">
        <v>34</v>
      </c>
      <c r="K74" s="2">
        <v>13129.0</v>
      </c>
      <c r="L74" s="5">
        <v>46241.04866898148</v>
      </c>
      <c r="M74" s="2" t="b">
        <v>1</v>
      </c>
      <c r="N74" s="2" t="b">
        <v>0</v>
      </c>
      <c r="O74" s="2">
        <v>0.0</v>
      </c>
      <c r="P74" s="2">
        <v>0.0</v>
      </c>
      <c r="R74" s="2" t="s">
        <v>252</v>
      </c>
      <c r="S74" s="2" t="s">
        <v>525</v>
      </c>
    </row>
    <row r="75">
      <c r="A75" s="4" t="s">
        <v>28</v>
      </c>
      <c r="B75" s="2">
        <v>74.0</v>
      </c>
      <c r="C75" s="4" t="s">
        <v>357</v>
      </c>
      <c r="D75" s="4" t="s">
        <v>256</v>
      </c>
      <c r="E75" s="4" t="s">
        <v>359</v>
      </c>
      <c r="F75" s="4" t="s">
        <v>360</v>
      </c>
      <c r="G75" s="4" t="s">
        <v>578</v>
      </c>
      <c r="H75" s="4" t="s">
        <v>579</v>
      </c>
      <c r="I75" s="4" t="s">
        <v>34</v>
      </c>
      <c r="K75" s="2">
        <v>12744.0</v>
      </c>
      <c r="L75" s="5">
        <v>46241.048854166664</v>
      </c>
      <c r="M75" s="2" t="b">
        <v>1</v>
      </c>
      <c r="N75" s="2" t="b">
        <v>0</v>
      </c>
      <c r="O75" s="2">
        <v>0.0</v>
      </c>
      <c r="P75" s="2">
        <v>0.0</v>
      </c>
      <c r="R75" s="2" t="s">
        <v>252</v>
      </c>
      <c r="S75" s="2" t="s">
        <v>525</v>
      </c>
    </row>
    <row r="76">
      <c r="A76" s="4" t="s">
        <v>28</v>
      </c>
      <c r="B76" s="2">
        <v>75.0</v>
      </c>
      <c r="C76" s="4" t="s">
        <v>361</v>
      </c>
      <c r="D76" s="4" t="s">
        <v>256</v>
      </c>
      <c r="E76" s="4" t="s">
        <v>362</v>
      </c>
      <c r="F76" s="4" t="s">
        <v>364</v>
      </c>
      <c r="G76" s="4" t="s">
        <v>580</v>
      </c>
      <c r="H76" s="4" t="s">
        <v>581</v>
      </c>
      <c r="I76" s="4" t="s">
        <v>34</v>
      </c>
      <c r="K76" s="2">
        <v>13074.0</v>
      </c>
      <c r="L76" s="5">
        <v>46241.04903935185</v>
      </c>
      <c r="M76" s="2" t="b">
        <v>1</v>
      </c>
      <c r="N76" s="2" t="b">
        <v>0</v>
      </c>
      <c r="O76" s="2">
        <v>0.0</v>
      </c>
      <c r="P76" s="2">
        <v>0.0</v>
      </c>
      <c r="R76" s="2" t="s">
        <v>252</v>
      </c>
      <c r="S76" s="2" t="s">
        <v>525</v>
      </c>
    </row>
    <row r="77">
      <c r="A77" s="4" t="s">
        <v>28</v>
      </c>
      <c r="B77" s="2">
        <v>76.0</v>
      </c>
      <c r="C77" s="4" t="s">
        <v>366</v>
      </c>
      <c r="D77" s="4" t="s">
        <v>256</v>
      </c>
      <c r="E77" s="4" t="s">
        <v>368</v>
      </c>
      <c r="F77" s="4" t="s">
        <v>369</v>
      </c>
      <c r="G77" s="4" t="s">
        <v>582</v>
      </c>
      <c r="H77" s="4" t="s">
        <v>583</v>
      </c>
      <c r="I77" s="4" t="s">
        <v>34</v>
      </c>
      <c r="K77" s="2">
        <v>18250.0</v>
      </c>
      <c r="L77" s="5">
        <v>46241.04929398148</v>
      </c>
      <c r="M77" s="2" t="b">
        <v>1</v>
      </c>
      <c r="N77" s="2" t="b">
        <v>0</v>
      </c>
      <c r="O77" s="2">
        <v>0.0</v>
      </c>
      <c r="P77" s="2">
        <v>0.0</v>
      </c>
      <c r="R77" s="2" t="s">
        <v>252</v>
      </c>
      <c r="S77" s="2" t="s">
        <v>525</v>
      </c>
    </row>
    <row r="78">
      <c r="A78" s="4" t="s">
        <v>28</v>
      </c>
      <c r="B78" s="2">
        <v>77.0</v>
      </c>
      <c r="C78" s="4" t="s">
        <v>371</v>
      </c>
      <c r="D78" s="4" t="s">
        <v>256</v>
      </c>
      <c r="E78" s="4" t="s">
        <v>372</v>
      </c>
      <c r="F78" s="4" t="s">
        <v>373</v>
      </c>
      <c r="G78" s="4" t="s">
        <v>584</v>
      </c>
      <c r="H78" s="4" t="s">
        <v>585</v>
      </c>
      <c r="I78" s="4" t="s">
        <v>34</v>
      </c>
      <c r="K78" s="2">
        <v>15305.0</v>
      </c>
      <c r="L78" s="5">
        <v>46241.04950231482</v>
      </c>
      <c r="M78" s="2" t="b">
        <v>1</v>
      </c>
      <c r="N78" s="2" t="b">
        <v>0</v>
      </c>
      <c r="O78" s="2">
        <v>0.0</v>
      </c>
      <c r="P78" s="2">
        <v>0.0</v>
      </c>
      <c r="R78" s="2" t="s">
        <v>252</v>
      </c>
      <c r="S78" s="2" t="s">
        <v>525</v>
      </c>
    </row>
    <row r="79">
      <c r="A79" s="4" t="s">
        <v>28</v>
      </c>
      <c r="B79" s="2">
        <v>78.0</v>
      </c>
      <c r="C79" s="4" t="s">
        <v>374</v>
      </c>
      <c r="D79" s="4" t="s">
        <v>256</v>
      </c>
      <c r="E79" s="4" t="s">
        <v>375</v>
      </c>
      <c r="F79" s="4" t="s">
        <v>376</v>
      </c>
      <c r="G79" s="4" t="s">
        <v>586</v>
      </c>
      <c r="H79" s="4" t="s">
        <v>587</v>
      </c>
      <c r="I79" s="4" t="s">
        <v>34</v>
      </c>
      <c r="K79" s="2">
        <v>25788.0</v>
      </c>
      <c r="L79" s="5">
        <v>46241.049837962964</v>
      </c>
      <c r="M79" s="2" t="b">
        <v>1</v>
      </c>
      <c r="N79" s="2" t="b">
        <v>0</v>
      </c>
      <c r="O79" s="2">
        <v>0.0</v>
      </c>
      <c r="P79" s="2">
        <v>0.0</v>
      </c>
      <c r="R79" s="2" t="s">
        <v>252</v>
      </c>
      <c r="S79" s="2" t="s">
        <v>525</v>
      </c>
    </row>
    <row r="80">
      <c r="A80" s="4" t="s">
        <v>28</v>
      </c>
      <c r="B80" s="2">
        <v>79.0</v>
      </c>
      <c r="C80" s="4" t="s">
        <v>380</v>
      </c>
      <c r="D80" s="4" t="s">
        <v>256</v>
      </c>
      <c r="E80" s="4" t="s">
        <v>381</v>
      </c>
      <c r="F80" s="4" t="s">
        <v>382</v>
      </c>
      <c r="G80" s="4" t="s">
        <v>588</v>
      </c>
      <c r="H80" s="4" t="s">
        <v>589</v>
      </c>
      <c r="I80" s="4" t="s">
        <v>34</v>
      </c>
      <c r="K80" s="2">
        <v>19175.0</v>
      </c>
      <c r="L80" s="5">
        <v>46241.050092592595</v>
      </c>
      <c r="M80" s="2" t="b">
        <v>1</v>
      </c>
      <c r="N80" s="2" t="b">
        <v>0</v>
      </c>
      <c r="O80" s="2">
        <v>0.0</v>
      </c>
      <c r="P80" s="2">
        <v>0.0</v>
      </c>
      <c r="R80" s="2" t="s">
        <v>252</v>
      </c>
      <c r="S80" s="2" t="s">
        <v>525</v>
      </c>
    </row>
    <row r="81">
      <c r="A81" s="4" t="s">
        <v>28</v>
      </c>
      <c r="B81" s="2">
        <v>80.0</v>
      </c>
      <c r="C81" s="4" t="s">
        <v>384</v>
      </c>
      <c r="D81" s="4" t="s">
        <v>256</v>
      </c>
      <c r="E81" s="4" t="s">
        <v>386</v>
      </c>
      <c r="F81" s="4" t="s">
        <v>387</v>
      </c>
      <c r="G81" s="4" t="s">
        <v>590</v>
      </c>
      <c r="H81" s="4" t="s">
        <v>591</v>
      </c>
      <c r="I81" s="4" t="s">
        <v>34</v>
      </c>
      <c r="K81" s="2">
        <v>16738.0</v>
      </c>
      <c r="L81" s="5">
        <v>46241.05032407407</v>
      </c>
      <c r="M81" s="2" t="b">
        <v>1</v>
      </c>
      <c r="N81" s="2" t="b">
        <v>0</v>
      </c>
      <c r="O81" s="2">
        <v>0.0</v>
      </c>
      <c r="P81" s="2">
        <v>0.0</v>
      </c>
      <c r="R81" s="2" t="s">
        <v>252</v>
      </c>
      <c r="S81" s="2" t="s">
        <v>525</v>
      </c>
    </row>
    <row r="82">
      <c r="A82" s="4" t="s">
        <v>28</v>
      </c>
      <c r="B82" s="2">
        <v>81.0</v>
      </c>
      <c r="C82" s="4" t="s">
        <v>388</v>
      </c>
      <c r="D82" s="4" t="s">
        <v>256</v>
      </c>
      <c r="E82" s="4" t="s">
        <v>390</v>
      </c>
      <c r="F82" s="4" t="s">
        <v>391</v>
      </c>
      <c r="G82" s="4" t="s">
        <v>592</v>
      </c>
      <c r="H82" s="4" t="s">
        <v>593</v>
      </c>
      <c r="I82" s="4" t="s">
        <v>34</v>
      </c>
      <c r="K82" s="2">
        <v>13336.0</v>
      </c>
      <c r="L82" s="5">
        <v>46241.05050925926</v>
      </c>
      <c r="M82" s="2" t="b">
        <v>1</v>
      </c>
      <c r="N82" s="2" t="b">
        <v>0</v>
      </c>
      <c r="O82" s="2">
        <v>0.0</v>
      </c>
      <c r="P82" s="2">
        <v>0.0</v>
      </c>
      <c r="R82" s="2" t="s">
        <v>252</v>
      </c>
      <c r="S82" s="2" t="s">
        <v>525</v>
      </c>
    </row>
    <row r="83">
      <c r="A83" s="4" t="s">
        <v>28</v>
      </c>
      <c r="B83" s="2">
        <v>82.0</v>
      </c>
      <c r="C83" s="4" t="s">
        <v>394</v>
      </c>
      <c r="D83" s="4" t="s">
        <v>256</v>
      </c>
      <c r="E83" s="4" t="s">
        <v>396</v>
      </c>
      <c r="F83" s="4" t="s">
        <v>397</v>
      </c>
      <c r="G83" s="4" t="s">
        <v>594</v>
      </c>
      <c r="H83" s="4" t="s">
        <v>595</v>
      </c>
      <c r="I83" s="4" t="s">
        <v>34</v>
      </c>
      <c r="K83" s="2">
        <v>30829.0</v>
      </c>
      <c r="L83" s="5">
        <v>46241.05091435185</v>
      </c>
      <c r="M83" s="2" t="b">
        <v>1</v>
      </c>
      <c r="N83" s="2" t="b">
        <v>0</v>
      </c>
      <c r="O83" s="2">
        <v>0.0</v>
      </c>
      <c r="P83" s="2">
        <v>0.0</v>
      </c>
      <c r="R83" s="2" t="s">
        <v>252</v>
      </c>
      <c r="S83" s="2" t="s">
        <v>525</v>
      </c>
    </row>
    <row r="84">
      <c r="A84" s="4" t="s">
        <v>28</v>
      </c>
      <c r="B84" s="2">
        <v>83.0</v>
      </c>
      <c r="C84" s="4" t="s">
        <v>399</v>
      </c>
      <c r="D84" s="4" t="s">
        <v>256</v>
      </c>
      <c r="E84" s="4" t="s">
        <v>401</v>
      </c>
      <c r="F84" s="4" t="s">
        <v>402</v>
      </c>
      <c r="G84" s="4" t="s">
        <v>596</v>
      </c>
      <c r="H84" s="4" t="s">
        <v>597</v>
      </c>
      <c r="I84" s="4" t="s">
        <v>34</v>
      </c>
      <c r="K84" s="2">
        <v>14662.0</v>
      </c>
      <c r="L84" s="5">
        <v>46241.05113425926</v>
      </c>
      <c r="M84" s="2" t="b">
        <v>1</v>
      </c>
      <c r="N84" s="2" t="b">
        <v>0</v>
      </c>
      <c r="O84" s="2">
        <v>0.0</v>
      </c>
      <c r="P84" s="2">
        <v>0.0</v>
      </c>
      <c r="R84" s="2" t="s">
        <v>252</v>
      </c>
      <c r="S84" s="2" t="s">
        <v>525</v>
      </c>
    </row>
    <row r="85">
      <c r="A85" s="4" t="s">
        <v>28</v>
      </c>
      <c r="B85" s="2">
        <v>84.0</v>
      </c>
      <c r="C85" s="4" t="s">
        <v>403</v>
      </c>
      <c r="D85" s="4" t="s">
        <v>256</v>
      </c>
      <c r="E85" s="4" t="s">
        <v>404</v>
      </c>
      <c r="F85" s="4" t="s">
        <v>405</v>
      </c>
      <c r="G85" s="4" t="s">
        <v>598</v>
      </c>
      <c r="H85" s="4" t="s">
        <v>599</v>
      </c>
      <c r="I85" s="4" t="s">
        <v>34</v>
      </c>
      <c r="K85" s="2">
        <v>12190.0</v>
      </c>
      <c r="L85" s="5">
        <v>46241.05131944444</v>
      </c>
      <c r="M85" s="2" t="b">
        <v>1</v>
      </c>
      <c r="N85" s="2" t="b">
        <v>0</v>
      </c>
      <c r="O85" s="2">
        <v>0.0</v>
      </c>
      <c r="P85" s="2">
        <v>0.0</v>
      </c>
      <c r="R85" s="2" t="s">
        <v>252</v>
      </c>
      <c r="S85" s="2" t="s">
        <v>525</v>
      </c>
    </row>
    <row r="86">
      <c r="A86" s="4" t="s">
        <v>28</v>
      </c>
      <c r="B86" s="2">
        <v>85.0</v>
      </c>
      <c r="C86" s="4" t="s">
        <v>408</v>
      </c>
      <c r="D86" s="4" t="s">
        <v>256</v>
      </c>
      <c r="E86" s="4" t="s">
        <v>409</v>
      </c>
      <c r="F86" s="4" t="s">
        <v>410</v>
      </c>
      <c r="G86" s="4" t="s">
        <v>600</v>
      </c>
      <c r="H86" s="4" t="s">
        <v>601</v>
      </c>
      <c r="I86" s="4" t="s">
        <v>34</v>
      </c>
      <c r="K86" s="2">
        <v>13164.0</v>
      </c>
      <c r="L86" s="5">
        <v>46241.051516203705</v>
      </c>
      <c r="M86" s="2" t="b">
        <v>1</v>
      </c>
      <c r="N86" s="2" t="b">
        <v>0</v>
      </c>
      <c r="O86" s="2">
        <v>0.0</v>
      </c>
      <c r="P86" s="2">
        <v>0.0</v>
      </c>
      <c r="R86" s="2" t="s">
        <v>252</v>
      </c>
      <c r="S86" s="2" t="s">
        <v>525</v>
      </c>
    </row>
    <row r="87">
      <c r="A87" s="4" t="s">
        <v>28</v>
      </c>
      <c r="B87" s="2">
        <v>86.0</v>
      </c>
      <c r="C87" s="4" t="s">
        <v>413</v>
      </c>
      <c r="D87" s="4" t="s">
        <v>256</v>
      </c>
      <c r="E87" s="4" t="s">
        <v>414</v>
      </c>
      <c r="F87" s="4" t="s">
        <v>415</v>
      </c>
      <c r="G87" s="4" t="s">
        <v>602</v>
      </c>
      <c r="H87" s="4" t="s">
        <v>603</v>
      </c>
      <c r="I87" s="4" t="s">
        <v>34</v>
      </c>
      <c r="K87" s="2">
        <v>12837.0</v>
      </c>
      <c r="L87" s="5">
        <v>46241.05170138889</v>
      </c>
      <c r="M87" s="2" t="b">
        <v>1</v>
      </c>
      <c r="N87" s="2" t="b">
        <v>0</v>
      </c>
      <c r="O87" s="2">
        <v>0.0</v>
      </c>
      <c r="P87" s="2">
        <v>0.0</v>
      </c>
      <c r="R87" s="2" t="s">
        <v>252</v>
      </c>
      <c r="S87" s="2" t="s">
        <v>525</v>
      </c>
    </row>
    <row r="88">
      <c r="A88" s="4" t="s">
        <v>28</v>
      </c>
      <c r="B88" s="2">
        <v>87.0</v>
      </c>
      <c r="C88" s="4" t="s">
        <v>416</v>
      </c>
      <c r="D88" s="4" t="s">
        <v>256</v>
      </c>
      <c r="E88" s="4" t="s">
        <v>417</v>
      </c>
      <c r="F88" s="4" t="s">
        <v>419</v>
      </c>
      <c r="G88" s="4" t="s">
        <v>604</v>
      </c>
      <c r="H88" s="4" t="s">
        <v>605</v>
      </c>
      <c r="I88" s="4" t="s">
        <v>34</v>
      </c>
      <c r="K88" s="2">
        <v>14374.0</v>
      </c>
      <c r="L88" s="5">
        <v>46241.05189814815</v>
      </c>
      <c r="M88" s="2" t="b">
        <v>1</v>
      </c>
      <c r="N88" s="2" t="b">
        <v>0</v>
      </c>
      <c r="O88" s="2">
        <v>0.0</v>
      </c>
      <c r="P88" s="2">
        <v>0.0</v>
      </c>
      <c r="R88" s="2" t="s">
        <v>252</v>
      </c>
      <c r="S88" s="2" t="s">
        <v>525</v>
      </c>
    </row>
    <row r="89">
      <c r="A89" s="4" t="s">
        <v>28</v>
      </c>
      <c r="B89" s="2">
        <v>88.0</v>
      </c>
      <c r="C89" s="4" t="s">
        <v>421</v>
      </c>
      <c r="D89" s="4" t="s">
        <v>256</v>
      </c>
      <c r="E89" s="4" t="s">
        <v>423</v>
      </c>
      <c r="F89" s="4" t="s">
        <v>424</v>
      </c>
      <c r="G89" s="4" t="s">
        <v>606</v>
      </c>
      <c r="H89" s="4" t="s">
        <v>607</v>
      </c>
      <c r="I89" s="4" t="s">
        <v>34</v>
      </c>
      <c r="K89" s="2">
        <v>13690.0</v>
      </c>
      <c r="L89" s="5">
        <v>46241.052094907405</v>
      </c>
      <c r="M89" s="2" t="b">
        <v>1</v>
      </c>
      <c r="N89" s="2" t="b">
        <v>0</v>
      </c>
      <c r="O89" s="2">
        <v>0.0</v>
      </c>
      <c r="P89" s="2">
        <v>0.0</v>
      </c>
      <c r="R89" s="2" t="s">
        <v>252</v>
      </c>
      <c r="S89" s="2" t="s">
        <v>525</v>
      </c>
    </row>
    <row r="90">
      <c r="A90" s="4" t="s">
        <v>28</v>
      </c>
      <c r="B90" s="2">
        <v>89.0</v>
      </c>
      <c r="C90" s="4" t="s">
        <v>425</v>
      </c>
      <c r="D90" s="4" t="s">
        <v>256</v>
      </c>
      <c r="E90" s="4" t="s">
        <v>427</v>
      </c>
      <c r="F90" s="4" t="s">
        <v>428</v>
      </c>
      <c r="G90" s="4" t="s">
        <v>608</v>
      </c>
      <c r="H90" s="4" t="s">
        <v>609</v>
      </c>
      <c r="I90" s="4" t="s">
        <v>34</v>
      </c>
      <c r="K90" s="2">
        <v>15861.0</v>
      </c>
      <c r="L90" s="5">
        <v>46241.05231481481</v>
      </c>
      <c r="M90" s="2" t="b">
        <v>1</v>
      </c>
      <c r="N90" s="2" t="b">
        <v>0</v>
      </c>
      <c r="O90" s="2">
        <v>0.0</v>
      </c>
      <c r="P90" s="2">
        <v>0.0</v>
      </c>
      <c r="R90" s="2" t="s">
        <v>252</v>
      </c>
      <c r="S90" s="2" t="s">
        <v>525</v>
      </c>
    </row>
    <row r="91">
      <c r="A91" s="4" t="s">
        <v>28</v>
      </c>
      <c r="B91" s="2">
        <v>90.0</v>
      </c>
      <c r="C91" s="4" t="s">
        <v>429</v>
      </c>
      <c r="D91" s="4" t="s">
        <v>256</v>
      </c>
      <c r="E91" s="4" t="s">
        <v>430</v>
      </c>
      <c r="F91" s="4" t="s">
        <v>431</v>
      </c>
      <c r="G91" s="4" t="s">
        <v>610</v>
      </c>
      <c r="H91" s="4" t="s">
        <v>611</v>
      </c>
      <c r="I91" s="4" t="s">
        <v>34</v>
      </c>
      <c r="K91" s="2">
        <v>12738.0</v>
      </c>
      <c r="L91" s="5">
        <v>46241.0525</v>
      </c>
      <c r="M91" s="2" t="b">
        <v>1</v>
      </c>
      <c r="N91" s="2" t="b">
        <v>0</v>
      </c>
      <c r="O91" s="2">
        <v>0.0</v>
      </c>
      <c r="P91" s="2">
        <v>0.0</v>
      </c>
      <c r="R91" s="2" t="s">
        <v>252</v>
      </c>
      <c r="S91" s="2" t="s">
        <v>525</v>
      </c>
    </row>
    <row r="92">
      <c r="A92" s="4" t="s">
        <v>28</v>
      </c>
      <c r="B92" s="2">
        <v>91.0</v>
      </c>
      <c r="C92" s="4" t="s">
        <v>432</v>
      </c>
      <c r="D92" s="4" t="s">
        <v>256</v>
      </c>
      <c r="E92" s="4" t="s">
        <v>433</v>
      </c>
      <c r="F92" s="4" t="s">
        <v>435</v>
      </c>
      <c r="G92" s="4" t="s">
        <v>612</v>
      </c>
      <c r="H92" s="4" t="s">
        <v>613</v>
      </c>
      <c r="I92" s="4" t="s">
        <v>34</v>
      </c>
      <c r="K92" s="2">
        <v>18802.0</v>
      </c>
      <c r="L92" s="5">
        <v>46241.05275462963</v>
      </c>
      <c r="M92" s="2" t="b">
        <v>1</v>
      </c>
      <c r="N92" s="2" t="b">
        <v>0</v>
      </c>
      <c r="O92" s="2">
        <v>0.0</v>
      </c>
      <c r="P92" s="2">
        <v>0.0</v>
      </c>
      <c r="R92" s="2" t="s">
        <v>252</v>
      </c>
      <c r="S92" s="2" t="s">
        <v>525</v>
      </c>
    </row>
    <row r="93">
      <c r="A93" s="4" t="s">
        <v>28</v>
      </c>
      <c r="B93" s="2">
        <v>92.0</v>
      </c>
      <c r="C93" s="4" t="s">
        <v>437</v>
      </c>
      <c r="D93" s="4" t="s">
        <v>256</v>
      </c>
      <c r="E93" s="4" t="s">
        <v>438</v>
      </c>
      <c r="F93" s="4" t="s">
        <v>440</v>
      </c>
      <c r="G93" s="4" t="s">
        <v>614</v>
      </c>
      <c r="H93" s="4" t="s">
        <v>615</v>
      </c>
      <c r="I93" s="4" t="s">
        <v>34</v>
      </c>
      <c r="K93" s="2">
        <v>15303.0</v>
      </c>
      <c r="L93" s="5">
        <v>46241.05297453704</v>
      </c>
      <c r="M93" s="2" t="b">
        <v>1</v>
      </c>
      <c r="N93" s="2" t="b">
        <v>0</v>
      </c>
      <c r="O93" s="2">
        <v>0.0</v>
      </c>
      <c r="P93" s="2">
        <v>0.0</v>
      </c>
      <c r="R93" s="2" t="s">
        <v>252</v>
      </c>
      <c r="S93" s="2" t="s">
        <v>525</v>
      </c>
    </row>
    <row r="94">
      <c r="A94" s="4" t="s">
        <v>28</v>
      </c>
      <c r="B94" s="2">
        <v>93.0</v>
      </c>
      <c r="C94" s="4" t="s">
        <v>442</v>
      </c>
      <c r="D94" s="4" t="s">
        <v>256</v>
      </c>
      <c r="E94" s="4" t="s">
        <v>443</v>
      </c>
      <c r="F94" s="4" t="s">
        <v>444</v>
      </c>
      <c r="G94" s="4" t="s">
        <v>616</v>
      </c>
      <c r="H94" s="4" t="s">
        <v>617</v>
      </c>
      <c r="I94" s="4" t="s">
        <v>34</v>
      </c>
      <c r="K94" s="2">
        <v>12737.0</v>
      </c>
      <c r="L94" s="5">
        <v>46241.053148148145</v>
      </c>
      <c r="M94" s="2" t="b">
        <v>1</v>
      </c>
      <c r="N94" s="2" t="b">
        <v>0</v>
      </c>
      <c r="O94" s="2">
        <v>0.0</v>
      </c>
      <c r="P94" s="2">
        <v>0.0</v>
      </c>
      <c r="R94" s="2" t="s">
        <v>252</v>
      </c>
      <c r="S94" s="2" t="s">
        <v>525</v>
      </c>
    </row>
    <row r="95">
      <c r="A95" s="4" t="s">
        <v>28</v>
      </c>
      <c r="B95" s="2">
        <v>94.0</v>
      </c>
      <c r="C95" s="4" t="s">
        <v>445</v>
      </c>
      <c r="D95" s="4" t="s">
        <v>256</v>
      </c>
      <c r="E95" s="4" t="s">
        <v>447</v>
      </c>
      <c r="F95" s="4" t="s">
        <v>449</v>
      </c>
      <c r="G95" s="4" t="s">
        <v>618</v>
      </c>
      <c r="H95" s="4" t="s">
        <v>619</v>
      </c>
      <c r="I95" s="4" t="s">
        <v>34</v>
      </c>
      <c r="K95" s="2">
        <v>14217.0</v>
      </c>
      <c r="L95" s="5">
        <v>46241.05335648148</v>
      </c>
      <c r="M95" s="2" t="b">
        <v>1</v>
      </c>
      <c r="N95" s="2" t="b">
        <v>1</v>
      </c>
      <c r="O95" s="2">
        <v>2.0</v>
      </c>
      <c r="P95" s="2">
        <v>0.3892</v>
      </c>
      <c r="Q95" s="4" t="s">
        <v>620</v>
      </c>
      <c r="R95" s="2" t="s">
        <v>252</v>
      </c>
      <c r="S95" s="2" t="s">
        <v>621</v>
      </c>
    </row>
    <row r="96">
      <c r="A96" s="4" t="s">
        <v>28</v>
      </c>
      <c r="B96" s="2">
        <v>95.0</v>
      </c>
      <c r="C96" s="4" t="s">
        <v>450</v>
      </c>
      <c r="D96" s="4" t="s">
        <v>256</v>
      </c>
      <c r="E96" s="4" t="s">
        <v>451</v>
      </c>
      <c r="F96" s="4" t="s">
        <v>453</v>
      </c>
      <c r="G96" s="4" t="s">
        <v>622</v>
      </c>
      <c r="H96" s="4" t="s">
        <v>623</v>
      </c>
      <c r="I96" s="4" t="s">
        <v>34</v>
      </c>
      <c r="K96" s="2">
        <v>19039.0</v>
      </c>
      <c r="L96" s="5">
        <v>46241.053611111114</v>
      </c>
      <c r="M96" s="2" t="b">
        <v>1</v>
      </c>
      <c r="N96" s="2" t="b">
        <v>0</v>
      </c>
      <c r="O96" s="2">
        <v>0.0</v>
      </c>
      <c r="P96" s="2">
        <v>0.0</v>
      </c>
      <c r="R96" s="2" t="s">
        <v>252</v>
      </c>
      <c r="S96" s="2" t="s">
        <v>525</v>
      </c>
    </row>
    <row r="97">
      <c r="A97" s="4" t="s">
        <v>28</v>
      </c>
      <c r="B97" s="2">
        <v>96.0</v>
      </c>
      <c r="C97" s="4" t="s">
        <v>454</v>
      </c>
      <c r="D97" s="4" t="s">
        <v>256</v>
      </c>
      <c r="E97" s="4" t="s">
        <v>455</v>
      </c>
      <c r="F97" s="4" t="s">
        <v>456</v>
      </c>
      <c r="G97" s="4" t="s">
        <v>624</v>
      </c>
      <c r="H97" s="4" t="s">
        <v>625</v>
      </c>
      <c r="I97" s="4" t="s">
        <v>34</v>
      </c>
      <c r="K97" s="2">
        <v>17699.0</v>
      </c>
      <c r="L97" s="5">
        <v>46241.05385416667</v>
      </c>
      <c r="M97" s="2" t="b">
        <v>1</v>
      </c>
      <c r="N97" s="2" t="b">
        <v>0</v>
      </c>
      <c r="O97" s="2">
        <v>0.0</v>
      </c>
      <c r="P97" s="2">
        <v>0.0</v>
      </c>
      <c r="R97" s="2" t="s">
        <v>252</v>
      </c>
      <c r="S97" s="2" t="s">
        <v>525</v>
      </c>
    </row>
    <row r="98">
      <c r="A98" s="4" t="s">
        <v>28</v>
      </c>
      <c r="B98" s="2">
        <v>97.0</v>
      </c>
      <c r="C98" s="4" t="s">
        <v>459</v>
      </c>
      <c r="D98" s="4" t="s">
        <v>256</v>
      </c>
      <c r="E98" s="4" t="s">
        <v>462</v>
      </c>
      <c r="F98" s="4" t="s">
        <v>463</v>
      </c>
      <c r="G98" s="4" t="s">
        <v>626</v>
      </c>
      <c r="H98" s="4" t="s">
        <v>627</v>
      </c>
      <c r="I98" s="4" t="s">
        <v>34</v>
      </c>
      <c r="K98" s="2">
        <v>19145.0</v>
      </c>
      <c r="L98" s="5">
        <v>46241.054131944446</v>
      </c>
      <c r="M98" s="2" t="b">
        <v>1</v>
      </c>
      <c r="N98" s="2" t="b">
        <v>0</v>
      </c>
      <c r="O98" s="2">
        <v>0.0</v>
      </c>
      <c r="P98" s="2">
        <v>0.0</v>
      </c>
      <c r="R98" s="2" t="s">
        <v>252</v>
      </c>
      <c r="S98" s="2" t="s">
        <v>525</v>
      </c>
    </row>
    <row r="99">
      <c r="A99" s="4" t="s">
        <v>28</v>
      </c>
      <c r="B99" s="2">
        <v>98.0</v>
      </c>
      <c r="C99" s="4" t="s">
        <v>464</v>
      </c>
      <c r="D99" s="4" t="s">
        <v>256</v>
      </c>
      <c r="E99" s="4" t="s">
        <v>466</v>
      </c>
      <c r="F99" s="4" t="s">
        <v>467</v>
      </c>
      <c r="G99" s="4" t="s">
        <v>628</v>
      </c>
      <c r="H99" s="4" t="s">
        <v>629</v>
      </c>
      <c r="I99" s="4" t="s">
        <v>34</v>
      </c>
      <c r="K99" s="2">
        <v>16922.0</v>
      </c>
      <c r="L99" s="5">
        <v>46241.05436342592</v>
      </c>
      <c r="M99" s="2" t="b">
        <v>1</v>
      </c>
      <c r="N99" s="2" t="b">
        <v>0</v>
      </c>
      <c r="O99" s="2">
        <v>0.0</v>
      </c>
      <c r="P99" s="2">
        <v>0.0</v>
      </c>
      <c r="R99" s="2" t="s">
        <v>252</v>
      </c>
      <c r="S99" s="2" t="s">
        <v>525</v>
      </c>
    </row>
    <row r="100">
      <c r="A100" s="4" t="s">
        <v>28</v>
      </c>
      <c r="B100" s="2">
        <v>99.0</v>
      </c>
      <c r="C100" s="4" t="s">
        <v>468</v>
      </c>
      <c r="D100" s="4" t="s">
        <v>256</v>
      </c>
      <c r="E100" s="4" t="s">
        <v>469</v>
      </c>
      <c r="F100" s="4" t="s">
        <v>470</v>
      </c>
      <c r="G100" s="4" t="s">
        <v>630</v>
      </c>
      <c r="H100" s="4" t="s">
        <v>631</v>
      </c>
      <c r="I100" s="4" t="s">
        <v>34</v>
      </c>
      <c r="K100" s="2">
        <v>13293.0</v>
      </c>
      <c r="L100" s="5">
        <v>46241.05454861111</v>
      </c>
      <c r="M100" s="2" t="b">
        <v>1</v>
      </c>
      <c r="N100" s="2" t="b">
        <v>0</v>
      </c>
      <c r="O100" s="2">
        <v>0.0</v>
      </c>
      <c r="P100" s="2">
        <v>0.0</v>
      </c>
      <c r="R100" s="2" t="s">
        <v>252</v>
      </c>
      <c r="S100" s="2" t="s">
        <v>525</v>
      </c>
    </row>
    <row r="101">
      <c r="A101" s="4" t="s">
        <v>28</v>
      </c>
      <c r="B101" s="2">
        <v>100.0</v>
      </c>
      <c r="C101" s="4" t="s">
        <v>473</v>
      </c>
      <c r="D101" s="4" t="s">
        <v>256</v>
      </c>
      <c r="E101" s="4" t="s">
        <v>474</v>
      </c>
      <c r="F101" s="4" t="s">
        <v>475</v>
      </c>
      <c r="G101" s="4" t="s">
        <v>632</v>
      </c>
      <c r="H101" s="4" t="s">
        <v>633</v>
      </c>
      <c r="I101" s="4" t="s">
        <v>34</v>
      </c>
      <c r="K101" s="2">
        <v>16116.0</v>
      </c>
      <c r="L101" s="5">
        <v>46241.05478009259</v>
      </c>
      <c r="M101" s="2" t="b">
        <v>1</v>
      </c>
      <c r="N101" s="2" t="b">
        <v>0</v>
      </c>
      <c r="O101" s="2">
        <v>0.0</v>
      </c>
      <c r="P101" s="2">
        <v>0.0</v>
      </c>
      <c r="R101" s="2" t="s">
        <v>252</v>
      </c>
      <c r="S101" s="2" t="s">
        <v>525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8"/>
    <col customWidth="1" min="2" max="2" width="65.13"/>
    <col customWidth="1" min="3" max="3" width="8.63"/>
    <col customWidth="1" min="4" max="4" width="28.0"/>
    <col customWidth="1" min="5" max="5" width="18.0"/>
    <col customWidth="1" min="6" max="26" width="8.63"/>
  </cols>
  <sheetData>
    <row r="1">
      <c r="A1" s="6" t="s">
        <v>190</v>
      </c>
    </row>
    <row r="3">
      <c r="A3" s="1" t="s">
        <v>196</v>
      </c>
      <c r="B3" s="1" t="s">
        <v>199</v>
      </c>
      <c r="D3" s="1" t="s">
        <v>201</v>
      </c>
      <c r="E3" s="1" t="s">
        <v>204</v>
      </c>
    </row>
    <row r="4">
      <c r="A4" s="7" t="s">
        <v>206</v>
      </c>
      <c r="B4" s="7">
        <f>COUNTIF(Perguntas!F2:F1001,"SIM")</f>
        <v>100</v>
      </c>
      <c r="D4" s="7" t="s">
        <v>37</v>
      </c>
      <c r="E4" s="7">
        <f>COUNTIF(Resultados!R2:R1101,D4)</f>
        <v>50</v>
      </c>
    </row>
    <row r="5">
      <c r="A5" s="7" t="s">
        <v>244</v>
      </c>
      <c r="B5" s="7">
        <f>COUNTA(Resultados!A2:A1101)</f>
        <v>100</v>
      </c>
      <c r="D5" s="7" t="s">
        <v>252</v>
      </c>
      <c r="E5" s="7">
        <f>COUNTIF(Resultados!R2:R1101,D5)</f>
        <v>50</v>
      </c>
    </row>
    <row r="6">
      <c r="A6" s="7" t="s">
        <v>272</v>
      </c>
      <c r="B6" s="7">
        <f>COUNTIF(Resultados!I2:I1101,"OK")</f>
        <v>100</v>
      </c>
      <c r="D6" s="7" t="s">
        <v>282</v>
      </c>
      <c r="E6" s="7">
        <f>COUNTIF(Resultados!R2:R1101,D6)</f>
        <v>0</v>
      </c>
    </row>
    <row r="7">
      <c r="A7" s="7" t="s">
        <v>292</v>
      </c>
      <c r="B7" s="7">
        <f>COUNTIF(Resultados!I2:I1101,"ERRO")</f>
        <v>0</v>
      </c>
      <c r="D7" s="7" t="s">
        <v>302</v>
      </c>
      <c r="E7" s="7">
        <f>COUNTIF(Resultados!R2:R1101,D7)</f>
        <v>0</v>
      </c>
    </row>
    <row r="8">
      <c r="A8" s="7" t="s">
        <v>315</v>
      </c>
      <c r="B8" s="7">
        <f>COUNTIF(Resultados!D2:D1101,"PRESENTE")</f>
        <v>50</v>
      </c>
      <c r="D8" s="7" t="s">
        <v>325</v>
      </c>
      <c r="E8" s="7">
        <f>COUNTIF(Resultados!R2:R1101,D8)</f>
        <v>0</v>
      </c>
    </row>
    <row r="9">
      <c r="A9" s="7" t="s">
        <v>334</v>
      </c>
      <c r="B9" s="7">
        <f>COUNTIF(Resultados!D2:D1101,"AUSENTE")</f>
        <v>50</v>
      </c>
      <c r="D9" s="7" t="s">
        <v>343</v>
      </c>
      <c r="E9" s="7">
        <f>MAX(0,COUNTA(Resultados!A2:A1101)-COUNTA(Resultados!R2:R1101))</f>
        <v>0</v>
      </c>
    </row>
    <row r="10">
      <c r="A10" s="7" t="s">
        <v>363</v>
      </c>
      <c r="B10" s="7">
        <f>IFERROR(AVERAGE(Resultados!K2:K1101),0)</f>
        <v>16838.97</v>
      </c>
    </row>
    <row r="11">
      <c r="A11" s="2" t="s">
        <v>379</v>
      </c>
      <c r="B11" s="7">
        <f>IFERROR(__xludf.DUMMYFUNCTION("IFERROR(MEDIAN(FILTER(Resultados!K2:K1101,Resultados!K2:K1101&lt;&gt;"""")),0)"),16812.5)</f>
        <v>16812.5</v>
      </c>
    </row>
    <row r="12">
      <c r="A12" s="8" t="s">
        <v>385</v>
      </c>
      <c r="B12" s="8" t="s">
        <v>389</v>
      </c>
    </row>
    <row r="13">
      <c r="A13" s="8" t="s">
        <v>196</v>
      </c>
      <c r="B13" s="8" t="s">
        <v>204</v>
      </c>
    </row>
    <row r="14">
      <c r="A14" s="2" t="s">
        <v>395</v>
      </c>
      <c r="B14" s="7">
        <f>COUNTIFS(Resultados!D2:D1101,"PRESENTE",Resultados!N2:N1101,TRUE)</f>
        <v>50</v>
      </c>
    </row>
    <row r="15">
      <c r="A15" s="2" t="s">
        <v>412</v>
      </c>
      <c r="B15" s="7">
        <f>COUNTIFS(Resultados!D2:D1101,"PRESENTE",Resultados!N2:N1101,FALSE)</f>
        <v>0</v>
      </c>
    </row>
    <row r="16">
      <c r="A16" s="2" t="s">
        <v>426</v>
      </c>
      <c r="B16" s="7">
        <f>COUNTIFS(Resultados!D2:D1101,"AUSENTE",Resultados!N2:N1101,FALSE)</f>
        <v>49</v>
      </c>
    </row>
    <row r="17">
      <c r="A17" s="2" t="s">
        <v>441</v>
      </c>
      <c r="B17" s="7">
        <f>COUNTIFS(Resultados!D2:D1101,"AUSENTE",Resultados!N2:N1101,TRUE)</f>
        <v>1</v>
      </c>
    </row>
    <row r="18">
      <c r="A18" s="2" t="s">
        <v>389</v>
      </c>
      <c r="B18" s="2" t="s">
        <v>389</v>
      </c>
    </row>
    <row r="19">
      <c r="A19" s="8" t="s">
        <v>457</v>
      </c>
      <c r="B19" s="8" t="s">
        <v>389</v>
      </c>
    </row>
    <row r="20">
      <c r="A20" s="2" t="s">
        <v>461</v>
      </c>
      <c r="B20" s="9">
        <f>IFERROR(B14/(B14+B17),0)</f>
        <v>0.9803921569</v>
      </c>
    </row>
    <row r="21" ht="15.75" customHeight="1">
      <c r="A21" s="2" t="s">
        <v>477</v>
      </c>
      <c r="B21" s="9">
        <f>IFERROR(B14/(B14+B15),0)</f>
        <v>1</v>
      </c>
    </row>
    <row r="22" ht="15.75" customHeight="1">
      <c r="A22" s="2" t="s">
        <v>481</v>
      </c>
      <c r="B22" s="9">
        <f>IFERROR(B16/(B16+B17),0)</f>
        <v>0.98</v>
      </c>
    </row>
    <row r="23" ht="15.75" customHeight="1">
      <c r="A23" s="2" t="s">
        <v>485</v>
      </c>
      <c r="B23" s="9">
        <f>IFERROR((B14+B16)/(B14+B15+B16+B17),0)</f>
        <v>0.99</v>
      </c>
    </row>
    <row r="24" ht="15.75" customHeight="1">
      <c r="A24" s="2" t="s">
        <v>489</v>
      </c>
      <c r="B24" s="9">
        <f>IFERROR(B15/(B14+B15),0)</f>
        <v>0</v>
      </c>
    </row>
    <row r="25" ht="15.75" customHeight="1">
      <c r="A25" s="2" t="s">
        <v>493</v>
      </c>
      <c r="B25" s="9">
        <f>IFERROR(B17/(B16+B17),0)</f>
        <v>0.02</v>
      </c>
    </row>
    <row r="26" ht="15.75" customHeight="1">
      <c r="A26" s="2" t="s">
        <v>499</v>
      </c>
      <c r="B26" s="7">
        <f>IFERROR(AVERAGEIF(Resultados!D2:D1101,"PRESENTE",Resultados!P2:P1101),0)</f>
        <v>0.73671</v>
      </c>
    </row>
    <row r="27" ht="15.75" customHeight="1">
      <c r="A27" s="2" t="s">
        <v>504</v>
      </c>
      <c r="B27" s="7">
        <f>IFERROR(__xludf.DUMMYFUNCTION("IFERROR(MIN(FILTER(Resultados!P2:P1101,Resultados!D2:D1101=""PRESENTE"")),0)"),0.5121)</f>
        <v>0.5121</v>
      </c>
    </row>
    <row r="28" ht="15.75" customHeight="1">
      <c r="A28" s="8" t="s">
        <v>389</v>
      </c>
      <c r="B28" s="8" t="s">
        <v>389</v>
      </c>
    </row>
    <row r="29" ht="15.75" customHeight="1">
      <c r="A29" s="2" t="s">
        <v>508</v>
      </c>
      <c r="B29" s="2" t="s">
        <v>389</v>
      </c>
    </row>
    <row r="30" ht="15.75" customHeight="1">
      <c r="A30" s="2" t="s">
        <v>510</v>
      </c>
      <c r="B30" s="2">
        <v>1.0</v>
      </c>
    </row>
    <row r="31" ht="15.75" customHeight="1">
      <c r="A31" s="2" t="s">
        <v>512</v>
      </c>
      <c r="B31" s="7">
        <f>COUNTA(Resultados!A2:A1101)</f>
        <v>100</v>
      </c>
    </row>
    <row r="32" ht="15.75" customHeight="1">
      <c r="A32" s="2" t="s">
        <v>516</v>
      </c>
      <c r="B32" s="7">
        <f>COUNTIF(Resultados!D2:D1101,"PRESENTE")</f>
        <v>50</v>
      </c>
    </row>
    <row r="33" ht="15.75" customHeight="1">
      <c r="A33" s="2" t="s">
        <v>520</v>
      </c>
      <c r="B33" s="7">
        <f>COUNTIF(Resultados!D2:D1101,"AUSENTE")</f>
        <v>50</v>
      </c>
    </row>
    <row r="34" ht="15.75" customHeight="1">
      <c r="A34" s="2" t="s">
        <v>524</v>
      </c>
      <c r="B34" s="10">
        <f>COUNTA(Resultados!R2:R1101)</f>
        <v>100</v>
      </c>
    </row>
    <row r="35" ht="15.75" customHeight="1">
      <c r="A35" s="2" t="s">
        <v>528</v>
      </c>
      <c r="B35" s="10">
        <f>COUNTIF(Resultados!R2:R1101,"RAG confirmado")+COUNTIF(Resultados!R2:R1101,"Conhecimento externo")</f>
        <v>100</v>
      </c>
    </row>
    <row r="36" ht="15.75" customHeight="1">
      <c r="A36" s="2" t="s">
        <v>532</v>
      </c>
      <c r="B36" s="9">
        <f>IFERROR(B35/B31,0)</f>
        <v>1</v>
      </c>
    </row>
    <row r="37" ht="15.75" customHeight="1">
      <c r="A37" s="2" t="s">
        <v>536</v>
      </c>
      <c r="B37" s="11">
        <v>0.9286499658</v>
      </c>
    </row>
    <row r="38" ht="15.75" customHeight="1">
      <c r="A38" s="2" t="s">
        <v>537</v>
      </c>
      <c r="B38" s="11">
        <v>1.0</v>
      </c>
    </row>
    <row r="39" ht="15.75" customHeight="1">
      <c r="A39" s="2" t="s">
        <v>538</v>
      </c>
      <c r="B39" s="11">
        <v>0.0713500342</v>
      </c>
    </row>
    <row r="40" ht="15.75" customHeight="1">
      <c r="A40" s="2" t="s">
        <v>541</v>
      </c>
      <c r="B40" s="2">
        <v>0.0</v>
      </c>
    </row>
    <row r="41" ht="15.75" customHeight="1">
      <c r="A41" s="2" t="s">
        <v>542</v>
      </c>
      <c r="B41" s="2" t="s">
        <v>543</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